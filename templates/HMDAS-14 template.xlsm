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OJT_Merylle\1 RIDF Program\templates\"/>
    </mc:Choice>
  </mc:AlternateContent>
  <xr:revisionPtr revIDLastSave="0" documentId="13_ncr:1_{1B0FAB4D-E265-49C9-97AB-DB840F03BDAD}" xr6:coauthVersionLast="47" xr6:coauthVersionMax="47" xr10:uidLastSave="{00000000-0000-0000-0000-000000000000}"/>
  <bookViews>
    <workbookView xWindow="13650" yWindow="1875" windowWidth="9420" windowHeight="11055" tabRatio="800" xr2:uid="{00000000-000D-0000-FFFF-FFFF00000000}"/>
  </bookViews>
  <sheets>
    <sheet name="1 Pattern 10min  Chart Reading" sheetId="8" r:id="rId1"/>
    <sheet name="2 Data RR corrMAX" sheetId="9" r:id="rId2"/>
    <sheet name="3 Corr Monthly RR Max" sheetId="5" r:id="rId3"/>
    <sheet name="4 Hourly RR Chart Reading" sheetId="4" r:id="rId4"/>
    <sheet name="Station Database" sheetId="49" state="hidden" r:id="rId5"/>
    <sheet name="5 Hourly w Corr Factor" sheetId="7" r:id="rId6"/>
    <sheet name="Monthly Rainfall Chart Reading" sheetId="77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4" l="1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I13" i="5"/>
  <c r="J13" i="5"/>
  <c r="K13" i="5"/>
  <c r="L13" i="5"/>
  <c r="M13" i="5"/>
  <c r="N13" i="5"/>
  <c r="O13" i="5"/>
  <c r="P13" i="5"/>
  <c r="Q13" i="5"/>
  <c r="I14" i="5"/>
  <c r="J14" i="5"/>
  <c r="K14" i="5"/>
  <c r="L14" i="5"/>
  <c r="M14" i="5"/>
  <c r="N14" i="5"/>
  <c r="O14" i="5"/>
  <c r="P14" i="5"/>
  <c r="Q14" i="5"/>
  <c r="I15" i="5"/>
  <c r="J15" i="5"/>
  <c r="K15" i="5"/>
  <c r="L15" i="5"/>
  <c r="M15" i="5"/>
  <c r="N15" i="5"/>
  <c r="O15" i="5"/>
  <c r="P15" i="5"/>
  <c r="Q15" i="5"/>
  <c r="I16" i="5"/>
  <c r="J16" i="5"/>
  <c r="K16" i="5"/>
  <c r="L16" i="5"/>
  <c r="M16" i="5"/>
  <c r="N16" i="5"/>
  <c r="O16" i="5"/>
  <c r="P16" i="5"/>
  <c r="Q16" i="5"/>
  <c r="I17" i="5"/>
  <c r="J17" i="5"/>
  <c r="K17" i="5"/>
  <c r="L17" i="5"/>
  <c r="M17" i="5"/>
  <c r="N17" i="5"/>
  <c r="O17" i="5"/>
  <c r="P17" i="5"/>
  <c r="Q17" i="5"/>
  <c r="I18" i="5"/>
  <c r="J18" i="5"/>
  <c r="K18" i="5"/>
  <c r="L18" i="5"/>
  <c r="M18" i="5"/>
  <c r="N18" i="5"/>
  <c r="O18" i="5"/>
  <c r="P18" i="5"/>
  <c r="Q18" i="5"/>
  <c r="I19" i="5"/>
  <c r="J19" i="5"/>
  <c r="K19" i="5"/>
  <c r="L19" i="5"/>
  <c r="M19" i="5"/>
  <c r="N19" i="5"/>
  <c r="O19" i="5"/>
  <c r="P19" i="5"/>
  <c r="Q19" i="5"/>
  <c r="I20" i="5"/>
  <c r="J20" i="5"/>
  <c r="K20" i="5"/>
  <c r="L20" i="5"/>
  <c r="M20" i="5"/>
  <c r="N20" i="5"/>
  <c r="O20" i="5"/>
  <c r="P20" i="5"/>
  <c r="Q20" i="5"/>
  <c r="I21" i="5"/>
  <c r="J21" i="5"/>
  <c r="K21" i="5"/>
  <c r="L21" i="5"/>
  <c r="M21" i="5"/>
  <c r="N21" i="5"/>
  <c r="O21" i="5"/>
  <c r="P21" i="5"/>
  <c r="Q21" i="5"/>
  <c r="I22" i="5"/>
  <c r="J22" i="5"/>
  <c r="K22" i="5"/>
  <c r="L22" i="5"/>
  <c r="M22" i="5"/>
  <c r="N22" i="5"/>
  <c r="O22" i="5"/>
  <c r="P22" i="5"/>
  <c r="Q22" i="5"/>
  <c r="I23" i="5"/>
  <c r="J23" i="5"/>
  <c r="K23" i="5"/>
  <c r="L23" i="5"/>
  <c r="M23" i="5"/>
  <c r="N23" i="5"/>
  <c r="O23" i="5"/>
  <c r="P23" i="5"/>
  <c r="Q23" i="5"/>
  <c r="I24" i="5"/>
  <c r="J24" i="5"/>
  <c r="K24" i="5"/>
  <c r="L24" i="5"/>
  <c r="M24" i="5"/>
  <c r="N24" i="5"/>
  <c r="O24" i="5"/>
  <c r="P24" i="5"/>
  <c r="Q24" i="5"/>
  <c r="I25" i="5"/>
  <c r="J25" i="5"/>
  <c r="K25" i="5"/>
  <c r="L25" i="5"/>
  <c r="M25" i="5"/>
  <c r="N25" i="5"/>
  <c r="O25" i="5"/>
  <c r="P25" i="5"/>
  <c r="Q25" i="5"/>
  <c r="I26" i="5"/>
  <c r="J26" i="5"/>
  <c r="K26" i="5"/>
  <c r="L26" i="5"/>
  <c r="M26" i="5"/>
  <c r="N26" i="5"/>
  <c r="O26" i="5"/>
  <c r="P26" i="5"/>
  <c r="Q26" i="5"/>
  <c r="I27" i="5"/>
  <c r="J27" i="5"/>
  <c r="K27" i="5"/>
  <c r="L27" i="5"/>
  <c r="M27" i="5"/>
  <c r="N27" i="5"/>
  <c r="O27" i="5"/>
  <c r="P27" i="5"/>
  <c r="Q27" i="5"/>
  <c r="I28" i="5"/>
  <c r="J28" i="5"/>
  <c r="K28" i="5"/>
  <c r="L28" i="5"/>
  <c r="M28" i="5"/>
  <c r="N28" i="5"/>
  <c r="O28" i="5"/>
  <c r="P28" i="5"/>
  <c r="Q28" i="5"/>
  <c r="I29" i="5"/>
  <c r="J29" i="5"/>
  <c r="K29" i="5"/>
  <c r="L29" i="5"/>
  <c r="M29" i="5"/>
  <c r="N29" i="5"/>
  <c r="O29" i="5"/>
  <c r="P29" i="5"/>
  <c r="Q29" i="5"/>
  <c r="I30" i="5"/>
  <c r="J30" i="5"/>
  <c r="K30" i="5"/>
  <c r="L30" i="5"/>
  <c r="M30" i="5"/>
  <c r="N30" i="5"/>
  <c r="O30" i="5"/>
  <c r="P30" i="5"/>
  <c r="Q30" i="5"/>
  <c r="I31" i="5"/>
  <c r="J31" i="5"/>
  <c r="K31" i="5"/>
  <c r="L31" i="5"/>
  <c r="M31" i="5"/>
  <c r="N31" i="5"/>
  <c r="O31" i="5"/>
  <c r="P31" i="5"/>
  <c r="Q31" i="5"/>
  <c r="I32" i="5"/>
  <c r="J32" i="5"/>
  <c r="K32" i="5"/>
  <c r="L32" i="5"/>
  <c r="M32" i="5"/>
  <c r="N32" i="5"/>
  <c r="O32" i="5"/>
  <c r="P32" i="5"/>
  <c r="Q32" i="5"/>
  <c r="I33" i="5"/>
  <c r="J33" i="5"/>
  <c r="K33" i="5"/>
  <c r="L33" i="5"/>
  <c r="M33" i="5"/>
  <c r="N33" i="5"/>
  <c r="O33" i="5"/>
  <c r="P33" i="5"/>
  <c r="Q33" i="5"/>
  <c r="I34" i="5"/>
  <c r="J34" i="5"/>
  <c r="K34" i="5"/>
  <c r="L34" i="5"/>
  <c r="M34" i="5"/>
  <c r="N34" i="5"/>
  <c r="O34" i="5"/>
  <c r="P34" i="5"/>
  <c r="Q34" i="5"/>
  <c r="I35" i="5"/>
  <c r="J35" i="5"/>
  <c r="K35" i="5"/>
  <c r="L35" i="5"/>
  <c r="M35" i="5"/>
  <c r="N35" i="5"/>
  <c r="O35" i="5"/>
  <c r="P35" i="5"/>
  <c r="Q35" i="5"/>
  <c r="I36" i="5"/>
  <c r="J36" i="5"/>
  <c r="K36" i="5"/>
  <c r="L36" i="5"/>
  <c r="M36" i="5"/>
  <c r="N36" i="5"/>
  <c r="O36" i="5"/>
  <c r="P36" i="5"/>
  <c r="Q36" i="5"/>
  <c r="I37" i="5"/>
  <c r="J37" i="5"/>
  <c r="K37" i="5"/>
  <c r="L37" i="5"/>
  <c r="M37" i="5"/>
  <c r="N37" i="5"/>
  <c r="O37" i="5"/>
  <c r="P37" i="5"/>
  <c r="Q37" i="5"/>
  <c r="I38" i="5"/>
  <c r="J38" i="5"/>
  <c r="K38" i="5"/>
  <c r="L38" i="5"/>
  <c r="M38" i="5"/>
  <c r="N38" i="5"/>
  <c r="O38" i="5"/>
  <c r="P38" i="5"/>
  <c r="Q38" i="5"/>
  <c r="I39" i="5"/>
  <c r="J39" i="5"/>
  <c r="K39" i="5"/>
  <c r="L39" i="5"/>
  <c r="M39" i="5"/>
  <c r="N39" i="5"/>
  <c r="O39" i="5"/>
  <c r="P39" i="5"/>
  <c r="Q39" i="5"/>
  <c r="I40" i="5"/>
  <c r="J40" i="5"/>
  <c r="K40" i="5"/>
  <c r="L40" i="5"/>
  <c r="M40" i="5"/>
  <c r="N40" i="5"/>
  <c r="O40" i="5"/>
  <c r="P40" i="5"/>
  <c r="Q40" i="5"/>
  <c r="I41" i="5"/>
  <c r="J41" i="5"/>
  <c r="K41" i="5"/>
  <c r="L41" i="5"/>
  <c r="M41" i="5"/>
  <c r="N41" i="5"/>
  <c r="O41" i="5"/>
  <c r="P41" i="5"/>
  <c r="Q41" i="5"/>
  <c r="I42" i="5"/>
  <c r="J42" i="5"/>
  <c r="K42" i="5"/>
  <c r="L42" i="5"/>
  <c r="M42" i="5"/>
  <c r="N42" i="5"/>
  <c r="O42" i="5"/>
  <c r="P42" i="5"/>
  <c r="Q42" i="5"/>
  <c r="T148" i="9" a="1"/>
  <c r="T148" i="9" s="1"/>
  <c r="S148" i="9" a="1"/>
  <c r="S148" i="9" s="1"/>
  <c r="R148" i="9" a="1"/>
  <c r="R148" i="9" s="1"/>
  <c r="Q148" i="9" a="1"/>
  <c r="Q148" i="9" s="1"/>
  <c r="G3" i="77"/>
  <c r="B2" i="77"/>
  <c r="B3" i="77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J12" i="5"/>
  <c r="K12" i="5"/>
  <c r="L12" i="5"/>
  <c r="M12" i="5"/>
  <c r="N12" i="5"/>
  <c r="O12" i="5"/>
  <c r="P12" i="5"/>
  <c r="Q12" i="5"/>
  <c r="W148" i="9" l="1"/>
  <c r="X148" i="9" s="1"/>
  <c r="Y148" i="9" s="1"/>
  <c r="V148" i="9"/>
  <c r="H2" i="49" a="1"/>
  <c r="H2" i="49" s="1"/>
  <c r="G2" i="49" a="1"/>
  <c r="G2" i="49" s="1"/>
  <c r="F2" i="49" a="1"/>
  <c r="F2" i="49" s="1"/>
  <c r="E2" i="49" a="1"/>
  <c r="E2" i="49" s="1"/>
  <c r="Q4" i="5" l="1"/>
  <c r="AB7" i="4"/>
  <c r="X4" i="4"/>
  <c r="X7" i="4"/>
  <c r="N7" i="5"/>
  <c r="I12" i="5"/>
  <c r="AB4" i="4" l="1"/>
  <c r="G2" i="77"/>
  <c r="H12" i="4"/>
  <c r="H35" i="7" l="1"/>
  <c r="H38" i="7"/>
  <c r="K38" i="7"/>
  <c r="L38" i="7"/>
  <c r="M38" i="7"/>
  <c r="N38" i="7"/>
  <c r="AC45" i="7"/>
  <c r="S45" i="7"/>
  <c r="B110" i="9" l="1"/>
  <c r="B106" i="9" l="1"/>
  <c r="B7" i="9" l="1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7" i="9"/>
  <c r="B108" i="9"/>
  <c r="B109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4" i="9"/>
  <c r="B5" i="9"/>
  <c r="B6" i="9"/>
  <c r="B3" i="9"/>
  <c r="C142" i="8" l="1"/>
  <c r="C136" i="8"/>
  <c r="C130" i="8"/>
  <c r="C124" i="8"/>
  <c r="C118" i="8"/>
  <c r="C112" i="8"/>
  <c r="C100" i="8"/>
  <c r="C94" i="8"/>
  <c r="C88" i="8"/>
  <c r="C82" i="8"/>
  <c r="C76" i="8"/>
  <c r="C70" i="8"/>
  <c r="C64" i="8"/>
  <c r="C58" i="8"/>
  <c r="C52" i="8"/>
  <c r="C46" i="8"/>
  <c r="C40" i="8"/>
  <c r="C34" i="8"/>
  <c r="C28" i="8"/>
  <c r="C22" i="8"/>
  <c r="C16" i="8"/>
  <c r="C10" i="8"/>
  <c r="F3" i="8" s="1"/>
  <c r="AM33" i="8"/>
  <c r="D13" i="4"/>
  <c r="E13" i="4"/>
  <c r="F13" i="4"/>
  <c r="D14" i="4"/>
  <c r="E14" i="4"/>
  <c r="F14" i="4"/>
  <c r="D15" i="4"/>
  <c r="E15" i="4"/>
  <c r="F15" i="4"/>
  <c r="D16" i="4"/>
  <c r="E16" i="4"/>
  <c r="F16" i="4"/>
  <c r="D17" i="4"/>
  <c r="E17" i="4"/>
  <c r="F17" i="4"/>
  <c r="D18" i="4"/>
  <c r="E18" i="4"/>
  <c r="F18" i="4"/>
  <c r="D19" i="4"/>
  <c r="E19" i="4"/>
  <c r="F19" i="4"/>
  <c r="D20" i="4"/>
  <c r="E20" i="4"/>
  <c r="F20" i="4"/>
  <c r="D21" i="4"/>
  <c r="E21" i="4"/>
  <c r="F21" i="4"/>
  <c r="D22" i="4"/>
  <c r="E22" i="4"/>
  <c r="F22" i="4"/>
  <c r="D23" i="4"/>
  <c r="E23" i="4"/>
  <c r="F23" i="4"/>
  <c r="D24" i="4"/>
  <c r="E24" i="4"/>
  <c r="F24" i="4"/>
  <c r="D25" i="4"/>
  <c r="E25" i="4"/>
  <c r="F25" i="4"/>
  <c r="D26" i="4"/>
  <c r="E26" i="4"/>
  <c r="F26" i="4"/>
  <c r="D27" i="4"/>
  <c r="E27" i="4"/>
  <c r="F27" i="4"/>
  <c r="D28" i="4"/>
  <c r="E28" i="4"/>
  <c r="F28" i="4"/>
  <c r="D29" i="4"/>
  <c r="E29" i="4"/>
  <c r="F29" i="4"/>
  <c r="D30" i="4"/>
  <c r="E30" i="4"/>
  <c r="F30" i="4"/>
  <c r="D31" i="4"/>
  <c r="E31" i="4"/>
  <c r="F31" i="4"/>
  <c r="D32" i="4"/>
  <c r="E32" i="4"/>
  <c r="F32" i="4"/>
  <c r="D33" i="4"/>
  <c r="E33" i="4"/>
  <c r="F33" i="4"/>
  <c r="D34" i="4"/>
  <c r="E34" i="4"/>
  <c r="F34" i="4"/>
  <c r="D35" i="4"/>
  <c r="E35" i="4"/>
  <c r="F35" i="4"/>
  <c r="D36" i="4"/>
  <c r="E36" i="4"/>
  <c r="F36" i="4"/>
  <c r="D37" i="4"/>
  <c r="E37" i="4"/>
  <c r="F37" i="4"/>
  <c r="D38" i="4"/>
  <c r="E38" i="4"/>
  <c r="F38" i="4"/>
  <c r="D39" i="4"/>
  <c r="E39" i="4"/>
  <c r="F39" i="4"/>
  <c r="D40" i="4"/>
  <c r="E40" i="4"/>
  <c r="F40" i="4"/>
  <c r="D41" i="4"/>
  <c r="E41" i="4"/>
  <c r="F41" i="4"/>
  <c r="D42" i="4"/>
  <c r="E42" i="4"/>
  <c r="F4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D12" i="4"/>
  <c r="E12" i="4"/>
  <c r="F12" i="4"/>
  <c r="C12" i="4"/>
  <c r="AM32" i="8"/>
  <c r="AM31" i="8"/>
  <c r="AM30" i="8"/>
  <c r="AM29" i="8"/>
  <c r="AM28" i="8"/>
  <c r="AM27" i="8"/>
  <c r="AM26" i="8"/>
  <c r="AM25" i="8"/>
  <c r="AM24" i="8"/>
  <c r="AM23" i="8"/>
  <c r="AM22" i="8"/>
  <c r="AM21" i="8"/>
  <c r="AM20" i="8"/>
  <c r="AM19" i="8"/>
  <c r="AM18" i="8"/>
  <c r="AM17" i="8"/>
  <c r="AM16" i="8"/>
  <c r="AM15" i="8"/>
  <c r="AM14" i="8"/>
  <c r="AM13" i="8"/>
  <c r="AM12" i="8"/>
  <c r="AM11" i="8"/>
  <c r="AM10" i="8"/>
  <c r="AM9" i="8"/>
  <c r="AM8" i="8"/>
  <c r="AM7" i="8"/>
  <c r="AM6" i="8"/>
  <c r="AM5" i="8"/>
  <c r="AM4" i="8"/>
  <c r="AM3" i="8"/>
  <c r="AF3" i="8" l="1"/>
  <c r="G42" i="4"/>
  <c r="AG12" i="4"/>
  <c r="G13" i="4" l="1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12" i="4"/>
  <c r="C4" i="8" l="1"/>
  <c r="C148" i="8"/>
  <c r="C106" i="8"/>
  <c r="N4" i="9" l="1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3" i="9"/>
  <c r="O3" i="9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AE3" i="8" l="1"/>
  <c r="B2" i="8" s="1"/>
  <c r="N83" i="9"/>
  <c r="B1" i="9" l="1"/>
  <c r="C11" i="9" s="1"/>
  <c r="C3" i="9" l="1"/>
  <c r="C96" i="9"/>
  <c r="C51" i="9"/>
  <c r="C80" i="9"/>
  <c r="C117" i="9"/>
  <c r="C31" i="9"/>
  <c r="C111" i="9"/>
  <c r="C126" i="9"/>
  <c r="C29" i="9"/>
  <c r="C6" i="9"/>
  <c r="C24" i="9"/>
  <c r="C68" i="9"/>
  <c r="C16" i="9"/>
  <c r="C132" i="9"/>
  <c r="C53" i="9"/>
  <c r="C123" i="9"/>
  <c r="C91" i="9"/>
  <c r="C61" i="9"/>
  <c r="C52" i="9"/>
  <c r="C116" i="9"/>
  <c r="C21" i="9"/>
  <c r="C57" i="9"/>
  <c r="C104" i="9"/>
  <c r="C93" i="9"/>
  <c r="C36" i="9"/>
  <c r="C72" i="9"/>
  <c r="C146" i="9"/>
  <c r="C140" i="9"/>
  <c r="C23" i="9"/>
  <c r="C60" i="9"/>
  <c r="C110" i="9"/>
  <c r="C115" i="9"/>
  <c r="C75" i="9"/>
  <c r="C78" i="9"/>
  <c r="C62" i="9"/>
  <c r="C40" i="9"/>
  <c r="C127" i="9"/>
  <c r="C144" i="9"/>
  <c r="C143" i="9"/>
  <c r="C66" i="9"/>
  <c r="C112" i="9"/>
  <c r="C56" i="9"/>
  <c r="C69" i="9"/>
  <c r="C137" i="9"/>
  <c r="C106" i="9"/>
  <c r="C122" i="9"/>
  <c r="C10" i="9"/>
  <c r="C101" i="9"/>
  <c r="C77" i="9"/>
  <c r="C28" i="9"/>
  <c r="C64" i="9"/>
  <c r="C139" i="9"/>
  <c r="C120" i="9"/>
  <c r="C90" i="9"/>
  <c r="C42" i="9"/>
  <c r="C30" i="9"/>
  <c r="C129" i="9"/>
  <c r="C8" i="9"/>
  <c r="C45" i="9"/>
  <c r="C85" i="9"/>
  <c r="C38" i="9"/>
  <c r="C32" i="9"/>
  <c r="C43" i="9"/>
  <c r="C113" i="9"/>
  <c r="C35" i="9"/>
  <c r="C95" i="9"/>
  <c r="C79" i="9"/>
  <c r="C74" i="9"/>
  <c r="C34" i="9"/>
  <c r="C71" i="9"/>
  <c r="C15" i="9"/>
  <c r="C118" i="9"/>
  <c r="C13" i="9"/>
  <c r="C49" i="9"/>
  <c r="C89" i="9"/>
  <c r="C82" i="9"/>
  <c r="C65" i="9"/>
  <c r="C37" i="9"/>
  <c r="C73" i="9"/>
  <c r="C141" i="9"/>
  <c r="C142" i="9"/>
  <c r="C55" i="9"/>
  <c r="C87" i="9"/>
  <c r="C108" i="9"/>
  <c r="C20" i="9"/>
  <c r="C67" i="9"/>
  <c r="C92" i="9"/>
  <c r="C121" i="9"/>
  <c r="C76" i="9"/>
  <c r="C125" i="9"/>
  <c r="C54" i="9"/>
  <c r="C5" i="9"/>
  <c r="C99" i="9"/>
  <c r="C124" i="9"/>
  <c r="C44" i="9"/>
  <c r="C130" i="9"/>
  <c r="C22" i="9"/>
  <c r="C58" i="9"/>
  <c r="C105" i="9"/>
  <c r="C102" i="9"/>
  <c r="C9" i="9"/>
  <c r="C46" i="9"/>
  <c r="C86" i="9"/>
  <c r="C147" i="9"/>
  <c r="C18" i="9"/>
  <c r="C134" i="9"/>
  <c r="C25" i="9"/>
  <c r="C4" i="9"/>
  <c r="C33" i="9"/>
  <c r="C27" i="9"/>
  <c r="C103" i="9"/>
  <c r="C39" i="9"/>
  <c r="C47" i="9"/>
  <c r="C17" i="9"/>
  <c r="C97" i="9"/>
  <c r="C94" i="9"/>
  <c r="C41" i="9"/>
  <c r="C81" i="9"/>
  <c r="C145" i="9"/>
  <c r="C83" i="9"/>
  <c r="C59" i="9"/>
  <c r="C114" i="9"/>
  <c r="C100" i="9"/>
  <c r="C7" i="9"/>
  <c r="C84" i="9"/>
  <c r="C70" i="9"/>
  <c r="C19" i="9"/>
  <c r="C131" i="9"/>
  <c r="C135" i="9"/>
  <c r="C133" i="9"/>
  <c r="C107" i="9"/>
  <c r="C12" i="9"/>
  <c r="C48" i="9"/>
  <c r="C88" i="9"/>
  <c r="C128" i="9"/>
  <c r="C138" i="9"/>
  <c r="C26" i="9"/>
  <c r="C63" i="9"/>
  <c r="C109" i="9"/>
  <c r="C119" i="9"/>
  <c r="C14" i="9"/>
  <c r="C50" i="9"/>
  <c r="C98" i="9"/>
  <c r="C136" i="9"/>
  <c r="B12" i="5"/>
  <c r="J39" i="9" l="1"/>
  <c r="D4" i="9"/>
  <c r="O4" i="9" s="1"/>
  <c r="F6" i="9"/>
  <c r="D147" i="9"/>
  <c r="O147" i="9" s="1"/>
  <c r="D146" i="9"/>
  <c r="O146" i="9" s="1"/>
  <c r="D105" i="9"/>
  <c r="O105" i="9" s="1"/>
  <c r="E11" i="9"/>
  <c r="G11" i="9"/>
  <c r="F52" i="9"/>
  <c r="F11" i="9"/>
  <c r="J47" i="9"/>
  <c r="I29" i="9"/>
  <c r="E58" i="9"/>
  <c r="E119" i="9"/>
  <c r="H18" i="9"/>
  <c r="I86" i="9"/>
  <c r="I122" i="9"/>
  <c r="D80" i="9"/>
  <c r="O80" i="9" s="1"/>
  <c r="G55" i="9"/>
  <c r="J116" i="9"/>
  <c r="I107" i="9"/>
  <c r="D52" i="9"/>
  <c r="O52" i="9" s="1"/>
  <c r="D69" i="9"/>
  <c r="O69" i="9" s="1"/>
  <c r="E64" i="9"/>
  <c r="I105" i="9"/>
  <c r="G68" i="9"/>
  <c r="H109" i="9"/>
  <c r="E116" i="9"/>
  <c r="E80" i="9"/>
  <c r="E89" i="9"/>
  <c r="F100" i="9"/>
  <c r="I80" i="9"/>
  <c r="H62" i="9"/>
  <c r="G87" i="9"/>
  <c r="J68" i="9"/>
  <c r="J104" i="9"/>
  <c r="K97" i="9"/>
  <c r="I97" i="9"/>
  <c r="F140" i="9"/>
  <c r="D117" i="9"/>
  <c r="O117" i="9" s="1"/>
  <c r="K140" i="9"/>
  <c r="H100" i="9"/>
  <c r="E109" i="9"/>
  <c r="J64" i="9"/>
  <c r="H80" i="9"/>
  <c r="F69" i="9"/>
  <c r="E45" i="9"/>
  <c r="J105" i="9"/>
  <c r="E82" i="9"/>
  <c r="D140" i="9"/>
  <c r="O140" i="9" s="1"/>
  <c r="H146" i="9"/>
  <c r="J100" i="9"/>
  <c r="H69" i="9"/>
  <c r="E107" i="9"/>
  <c r="E111" i="9"/>
  <c r="F125" i="9"/>
  <c r="E87" i="9"/>
  <c r="E74" i="9"/>
  <c r="D26" i="9"/>
  <c r="O26" i="9" s="1"/>
  <c r="H116" i="9"/>
  <c r="I72" i="9"/>
  <c r="F107" i="9"/>
  <c r="K80" i="9"/>
  <c r="I52" i="9"/>
  <c r="F55" i="9"/>
  <c r="H52" i="9"/>
  <c r="F135" i="9"/>
  <c r="D64" i="9"/>
  <c r="O64" i="9" s="1"/>
  <c r="D109" i="9"/>
  <c r="O109" i="9" s="1"/>
  <c r="E18" i="9"/>
  <c r="H28" i="9"/>
  <c r="G31" i="9"/>
  <c r="I58" i="9"/>
  <c r="F28" i="9"/>
  <c r="F59" i="9"/>
  <c r="I54" i="9"/>
  <c r="J132" i="9"/>
  <c r="D48" i="9"/>
  <c r="O48" i="9" s="1"/>
  <c r="J89" i="9"/>
  <c r="D106" i="9"/>
  <c r="O106" i="9" s="1"/>
  <c r="E102" i="9"/>
  <c r="D108" i="9"/>
  <c r="O108" i="9" s="1"/>
  <c r="G146" i="9"/>
  <c r="K117" i="9"/>
  <c r="F72" i="9"/>
  <c r="G51" i="9"/>
  <c r="D97" i="9"/>
  <c r="O97" i="9" s="1"/>
  <c r="I55" i="9"/>
  <c r="G102" i="9"/>
  <c r="E47" i="9"/>
  <c r="I82" i="9"/>
  <c r="G46" i="9"/>
  <c r="H90" i="9"/>
  <c r="J56" i="9"/>
  <c r="I96" i="9"/>
  <c r="D8" i="9"/>
  <c r="O8" i="9" s="1"/>
  <c r="I74" i="9"/>
  <c r="D79" i="9"/>
  <c r="O79" i="9" s="1"/>
  <c r="J108" i="9"/>
  <c r="H72" i="9"/>
  <c r="F21" i="9"/>
  <c r="G22" i="9"/>
  <c r="E25" i="9"/>
  <c r="H97" i="9"/>
  <c r="H114" i="9"/>
  <c r="I125" i="9"/>
  <c r="I53" i="9"/>
  <c r="G96" i="9"/>
  <c r="G24" i="9"/>
  <c r="H74" i="9"/>
  <c r="E117" i="9"/>
  <c r="I21" i="9"/>
  <c r="D32" i="9"/>
  <c r="O32" i="9" s="1"/>
  <c r="H144" i="9"/>
  <c r="H108" i="9"/>
  <c r="H137" i="9"/>
  <c r="H40" i="9"/>
  <c r="G18" i="9"/>
  <c r="F137" i="9"/>
  <c r="F82" i="9"/>
  <c r="G23" i="9"/>
  <c r="D96" i="9"/>
  <c r="O96" i="9" s="1"/>
  <c r="G144" i="9"/>
  <c r="G64" i="9"/>
  <c r="H60" i="9"/>
  <c r="K125" i="9"/>
  <c r="E28" i="9"/>
  <c r="J140" i="9"/>
  <c r="G114" i="9"/>
  <c r="I85" i="9"/>
  <c r="G140" i="9"/>
  <c r="H117" i="9"/>
  <c r="F58" i="9"/>
  <c r="F8" i="9"/>
  <c r="D56" i="9"/>
  <c r="O56" i="9" s="1"/>
  <c r="H64" i="9"/>
  <c r="D25" i="9"/>
  <c r="O25" i="9" s="1"/>
  <c r="J87" i="9"/>
  <c r="I114" i="9"/>
  <c r="I100" i="9"/>
  <c r="J125" i="9"/>
  <c r="I49" i="9"/>
  <c r="F85" i="9"/>
  <c r="I140" i="9"/>
  <c r="J59" i="9"/>
  <c r="D77" i="9"/>
  <c r="O77" i="9" s="1"/>
  <c r="E57" i="9"/>
  <c r="D55" i="9"/>
  <c r="O55" i="9" s="1"/>
  <c r="H68" i="9"/>
  <c r="G80" i="9"/>
  <c r="F24" i="9"/>
  <c r="F105" i="9"/>
  <c r="K100" i="9"/>
  <c r="E54" i="9"/>
  <c r="E49" i="9"/>
  <c r="G85" i="9"/>
  <c r="G108" i="9"/>
  <c r="G78" i="9"/>
  <c r="I92" i="9"/>
  <c r="G21" i="9"/>
  <c r="K82" i="9"/>
  <c r="J110" i="9"/>
  <c r="G123" i="9"/>
  <c r="D125" i="9"/>
  <c r="O125" i="9" s="1"/>
  <c r="H67" i="9"/>
  <c r="H49" i="9"/>
  <c r="F74" i="9"/>
  <c r="I90" i="9"/>
  <c r="I78" i="9"/>
  <c r="J85" i="9"/>
  <c r="H70" i="9"/>
  <c r="E60" i="9"/>
  <c r="K146" i="9"/>
  <c r="J52" i="9"/>
  <c r="F31" i="9"/>
  <c r="K96" i="9"/>
  <c r="E51" i="9"/>
  <c r="G58" i="9"/>
  <c r="F54" i="9"/>
  <c r="E71" i="9"/>
  <c r="G62" i="9"/>
  <c r="F51" i="9"/>
  <c r="D85" i="9"/>
  <c r="O85" i="9" s="1"/>
  <c r="G47" i="9"/>
  <c r="D33" i="9"/>
  <c r="O33" i="9" s="1"/>
  <c r="G40" i="9"/>
  <c r="J94" i="9"/>
  <c r="D53" i="9"/>
  <c r="O53" i="9" s="1"/>
  <c r="J133" i="9"/>
  <c r="I46" i="9"/>
  <c r="G74" i="9"/>
  <c r="I69" i="9"/>
  <c r="E139" i="9"/>
  <c r="F108" i="9"/>
  <c r="F111" i="9"/>
  <c r="E97" i="9"/>
  <c r="E26" i="9"/>
  <c r="E137" i="9"/>
  <c r="D22" i="9"/>
  <c r="O22" i="9" s="1"/>
  <c r="J95" i="9"/>
  <c r="H107" i="9"/>
  <c r="G95" i="9"/>
  <c r="F90" i="9"/>
  <c r="F12" i="9"/>
  <c r="F49" i="9"/>
  <c r="I132" i="9"/>
  <c r="J53" i="9"/>
  <c r="D46" i="9"/>
  <c r="O46" i="9" s="1"/>
  <c r="H37" i="9"/>
  <c r="H30" i="9"/>
  <c r="I26" i="9"/>
  <c r="I135" i="9"/>
  <c r="G17" i="9"/>
  <c r="D59" i="9"/>
  <c r="O59" i="9" s="1"/>
  <c r="F62" i="9"/>
  <c r="K103" i="9"/>
  <c r="D27" i="9"/>
  <c r="O27" i="9" s="1"/>
  <c r="F47" i="9"/>
  <c r="I73" i="9"/>
  <c r="D42" i="9"/>
  <c r="O42" i="9" s="1"/>
  <c r="I143" i="9"/>
  <c r="D127" i="9"/>
  <c r="O127" i="9" s="1"/>
  <c r="E56" i="9"/>
  <c r="H99" i="9"/>
  <c r="E135" i="9"/>
  <c r="H63" i="9"/>
  <c r="G69" i="9"/>
  <c r="I87" i="9"/>
  <c r="E118" i="9"/>
  <c r="F71" i="9"/>
  <c r="E146" i="9"/>
  <c r="E104" i="9"/>
  <c r="D18" i="9"/>
  <c r="O18" i="9" s="1"/>
  <c r="I63" i="9"/>
  <c r="E19" i="9"/>
  <c r="D63" i="9"/>
  <c r="O63" i="9" s="1"/>
  <c r="D133" i="9"/>
  <c r="O133" i="9" s="1"/>
  <c r="F117" i="9"/>
  <c r="D17" i="9"/>
  <c r="O17" i="9" s="1"/>
  <c r="J114" i="9"/>
  <c r="G139" i="9"/>
  <c r="H17" i="9"/>
  <c r="K89" i="9"/>
  <c r="D134" i="9"/>
  <c r="O134" i="9" s="1"/>
  <c r="E134" i="9"/>
  <c r="K136" i="9"/>
  <c r="F132" i="9"/>
  <c r="F126" i="9"/>
  <c r="J54" i="9"/>
  <c r="H59" i="9"/>
  <c r="I64" i="9"/>
  <c r="K128" i="9"/>
  <c r="E132" i="9"/>
  <c r="J84" i="9"/>
  <c r="E70" i="9"/>
  <c r="K135" i="9"/>
  <c r="E92" i="9"/>
  <c r="I42" i="9"/>
  <c r="F67" i="9"/>
  <c r="G71" i="9"/>
  <c r="H83" i="9"/>
  <c r="E39" i="9"/>
  <c r="J123" i="9"/>
  <c r="J80" i="9"/>
  <c r="K123" i="9"/>
  <c r="I110" i="9"/>
  <c r="E52" i="9"/>
  <c r="G50" i="9"/>
  <c r="G70" i="9"/>
  <c r="E83" i="9"/>
  <c r="H56" i="9"/>
  <c r="G98" i="9"/>
  <c r="K121" i="9"/>
  <c r="H125" i="9"/>
  <c r="D101" i="9"/>
  <c r="O101" i="9" s="1"/>
  <c r="I109" i="9"/>
  <c r="J126" i="9"/>
  <c r="G79" i="9"/>
  <c r="K86" i="9"/>
  <c r="D144" i="9"/>
  <c r="O144" i="9" s="1"/>
  <c r="G53" i="9"/>
  <c r="F114" i="9"/>
  <c r="J143" i="9"/>
  <c r="I126" i="9"/>
  <c r="G88" i="9"/>
  <c r="D86" i="9"/>
  <c r="O86" i="9" s="1"/>
  <c r="F84" i="9"/>
  <c r="K143" i="9"/>
  <c r="D28" i="9"/>
  <c r="O28" i="9" s="1"/>
  <c r="K119" i="9"/>
  <c r="E72" i="9"/>
  <c r="D88" i="9"/>
  <c r="O88" i="9" s="1"/>
  <c r="E88" i="9"/>
  <c r="J44" i="9"/>
  <c r="D81" i="9"/>
  <c r="O81" i="9" s="1"/>
  <c r="F73" i="9"/>
  <c r="F89" i="9"/>
  <c r="H85" i="9"/>
  <c r="H81" i="9"/>
  <c r="J63" i="9"/>
  <c r="I81" i="9"/>
  <c r="D74" i="9"/>
  <c r="O74" i="9" s="1"/>
  <c r="G56" i="9"/>
  <c r="E43" i="9"/>
  <c r="K116" i="9"/>
  <c r="D16" i="9"/>
  <c r="O16" i="9" s="1"/>
  <c r="J51" i="9"/>
  <c r="D45" i="9"/>
  <c r="O45" i="9" s="1"/>
  <c r="D44" i="9"/>
  <c r="O44" i="9" s="1"/>
  <c r="K131" i="9"/>
  <c r="E78" i="9"/>
  <c r="I142" i="9"/>
  <c r="F13" i="9"/>
  <c r="K107" i="9"/>
  <c r="J77" i="9"/>
  <c r="E112" i="9"/>
  <c r="E75" i="9"/>
  <c r="D37" i="9"/>
  <c r="O37" i="9" s="1"/>
  <c r="H61" i="9"/>
  <c r="D7" i="9"/>
  <c r="O7" i="9" s="1"/>
  <c r="H124" i="9"/>
  <c r="E48" i="9"/>
  <c r="H76" i="9"/>
  <c r="J67" i="9"/>
  <c r="F37" i="9"/>
  <c r="I71" i="9"/>
  <c r="F35" i="9"/>
  <c r="E69" i="9"/>
  <c r="F64" i="9"/>
  <c r="I108" i="9"/>
  <c r="F87" i="9"/>
  <c r="G122" i="9"/>
  <c r="J124" i="9"/>
  <c r="D145" i="9"/>
  <c r="O145" i="9" s="1"/>
  <c r="F144" i="9"/>
  <c r="F33" i="9"/>
  <c r="G66" i="9"/>
  <c r="E29" i="9"/>
  <c r="G54" i="9"/>
  <c r="H96" i="9"/>
  <c r="H53" i="9"/>
  <c r="J50" i="9"/>
  <c r="K109" i="9"/>
  <c r="H26" i="9"/>
  <c r="K124" i="9"/>
  <c r="E113" i="9"/>
  <c r="I59" i="9"/>
  <c r="I89" i="9"/>
  <c r="H71" i="9"/>
  <c r="K90" i="9"/>
  <c r="F40" i="9"/>
  <c r="E62" i="9"/>
  <c r="F46" i="9"/>
  <c r="H88" i="9"/>
  <c r="G92" i="9"/>
  <c r="J43" i="9"/>
  <c r="G48" i="9"/>
  <c r="D111" i="9"/>
  <c r="O111" i="9" s="1"/>
  <c r="H93" i="9"/>
  <c r="E136" i="9"/>
  <c r="J60" i="9"/>
  <c r="F36" i="9"/>
  <c r="G52" i="9"/>
  <c r="E55" i="9"/>
  <c r="K132" i="9"/>
  <c r="J96" i="9"/>
  <c r="E53" i="9"/>
  <c r="I24" i="9"/>
  <c r="I50" i="9"/>
  <c r="J107" i="9"/>
  <c r="I102" i="9"/>
  <c r="H58" i="9"/>
  <c r="G84" i="9"/>
  <c r="F17" i="9"/>
  <c r="D47" i="9"/>
  <c r="O47" i="9" s="1"/>
  <c r="H73" i="9"/>
  <c r="J82" i="9"/>
  <c r="D49" i="9"/>
  <c r="O49" i="9" s="1"/>
  <c r="D34" i="9"/>
  <c r="O34" i="9" s="1"/>
  <c r="F56" i="9"/>
  <c r="H45" i="9"/>
  <c r="J90" i="9"/>
  <c r="K144" i="9"/>
  <c r="H32" i="9"/>
  <c r="I101" i="9"/>
  <c r="D60" i="9"/>
  <c r="O60" i="9" s="1"/>
  <c r="K104" i="9"/>
  <c r="G14" i="9"/>
  <c r="E86" i="9"/>
  <c r="H102" i="9"/>
  <c r="H84" i="9"/>
  <c r="D54" i="9"/>
  <c r="O54" i="9" s="1"/>
  <c r="H47" i="9"/>
  <c r="D103" i="9"/>
  <c r="O103" i="9" s="1"/>
  <c r="E73" i="9"/>
  <c r="E124" i="9"/>
  <c r="G32" i="9"/>
  <c r="G45" i="9"/>
  <c r="G90" i="9"/>
  <c r="E33" i="9"/>
  <c r="G60" i="9"/>
  <c r="H104" i="9"/>
  <c r="D68" i="9"/>
  <c r="O68" i="9" s="1"/>
  <c r="E16" i="9"/>
  <c r="H123" i="9"/>
  <c r="F14" i="9"/>
  <c r="F63" i="9"/>
  <c r="G117" i="9"/>
  <c r="I51" i="9"/>
  <c r="E84" i="9"/>
  <c r="D41" i="9"/>
  <c r="O41" i="9" s="1"/>
  <c r="I67" i="9"/>
  <c r="G59" i="9"/>
  <c r="H79" i="9"/>
  <c r="J69" i="9"/>
  <c r="I32" i="9"/>
  <c r="D90" i="9"/>
  <c r="O90" i="9" s="1"/>
  <c r="H33" i="9"/>
  <c r="J144" i="9"/>
  <c r="K139" i="9"/>
  <c r="D72" i="9"/>
  <c r="O72" i="9" s="1"/>
  <c r="J61" i="9"/>
  <c r="G111" i="9"/>
  <c r="F48" i="9"/>
  <c r="K105" i="9"/>
  <c r="K84" i="9"/>
  <c r="J41" i="9"/>
  <c r="G37" i="9"/>
  <c r="J112" i="9"/>
  <c r="H105" i="9"/>
  <c r="H48" i="9"/>
  <c r="H22" i="9"/>
  <c r="K85" i="9"/>
  <c r="E142" i="9"/>
  <c r="F104" i="9"/>
  <c r="G61" i="9"/>
  <c r="I48" i="9"/>
  <c r="D136" i="9"/>
  <c r="O136" i="9" s="1"/>
  <c r="I141" i="9"/>
  <c r="K108" i="9"/>
  <c r="J75" i="9"/>
  <c r="G110" i="9"/>
  <c r="I60" i="9"/>
  <c r="E140" i="9"/>
  <c r="I93" i="9"/>
  <c r="F61" i="9"/>
  <c r="F18" i="9"/>
  <c r="I68" i="9"/>
  <c r="I31" i="9"/>
  <c r="F80" i="9"/>
  <c r="F16" i="9"/>
  <c r="J111" i="9"/>
  <c r="F9" i="9"/>
  <c r="E50" i="9"/>
  <c r="E63" i="9"/>
  <c r="J138" i="9"/>
  <c r="F88" i="9"/>
  <c r="J86" i="9"/>
  <c r="E46" i="9"/>
  <c r="D84" i="9"/>
  <c r="O84" i="9" s="1"/>
  <c r="E44" i="9"/>
  <c r="G131" i="9"/>
  <c r="E81" i="9"/>
  <c r="E41" i="9"/>
  <c r="H54" i="9"/>
  <c r="F39" i="9"/>
  <c r="K92" i="9"/>
  <c r="E8" i="9"/>
  <c r="F143" i="9"/>
  <c r="J73" i="9"/>
  <c r="D89" i="9"/>
  <c r="O89" i="9" s="1"/>
  <c r="D15" i="9"/>
  <c r="O15" i="9" s="1"/>
  <c r="H95" i="9"/>
  <c r="F27" i="9"/>
  <c r="K112" i="9"/>
  <c r="H129" i="9"/>
  <c r="E42" i="9"/>
  <c r="G33" i="9"/>
  <c r="G77" i="9"/>
  <c r="I62" i="9"/>
  <c r="E10" i="9"/>
  <c r="D87" i="9"/>
  <c r="O87" i="9" s="1"/>
  <c r="I43" i="9"/>
  <c r="E138" i="9"/>
  <c r="H136" i="9"/>
  <c r="H122" i="9"/>
  <c r="F139" i="9"/>
  <c r="G137" i="9"/>
  <c r="G135" i="9"/>
  <c r="E114" i="9"/>
  <c r="J97" i="9"/>
  <c r="G89" i="9"/>
  <c r="G129" i="9"/>
  <c r="F138" i="9"/>
  <c r="J136" i="9"/>
  <c r="D143" i="9"/>
  <c r="O143" i="9" s="1"/>
  <c r="J71" i="9"/>
  <c r="H112" i="9"/>
  <c r="J42" i="9"/>
  <c r="I77" i="9"/>
  <c r="G142" i="9"/>
  <c r="F93" i="9"/>
  <c r="K122" i="9"/>
  <c r="D126" i="9"/>
  <c r="O126" i="9" s="1"/>
  <c r="G16" i="9"/>
  <c r="I111" i="9"/>
  <c r="D91" i="9"/>
  <c r="O91" i="9" s="1"/>
  <c r="E125" i="9"/>
  <c r="D50" i="9"/>
  <c r="O50" i="9" s="1"/>
  <c r="G109" i="9"/>
  <c r="H138" i="9"/>
  <c r="I88" i="9"/>
  <c r="E133" i="9"/>
  <c r="H86" i="9"/>
  <c r="D70" i="9"/>
  <c r="O70" i="9" s="1"/>
  <c r="F44" i="9"/>
  <c r="F131" i="9"/>
  <c r="F81" i="9"/>
  <c r="G41" i="9"/>
  <c r="E76" i="9"/>
  <c r="I39" i="9"/>
  <c r="H92" i="9"/>
  <c r="G67" i="9"/>
  <c r="K83" i="9"/>
  <c r="H143" i="9"/>
  <c r="G73" i="9"/>
  <c r="D82" i="9"/>
  <c r="O82" i="9" s="1"/>
  <c r="J49" i="9"/>
  <c r="E15" i="9"/>
  <c r="J79" i="9"/>
  <c r="F95" i="9"/>
  <c r="H27" i="9"/>
  <c r="G75" i="9"/>
  <c r="F112" i="9"/>
  <c r="J129" i="9"/>
  <c r="G42" i="9"/>
  <c r="I28" i="9"/>
  <c r="I33" i="9"/>
  <c r="J46" i="9"/>
  <c r="F142" i="9"/>
  <c r="G43" i="9"/>
  <c r="J134" i="9"/>
  <c r="G115" i="9"/>
  <c r="E108" i="9"/>
  <c r="J72" i="9"/>
  <c r="F96" i="9"/>
  <c r="D138" i="9"/>
  <c r="O138" i="9" s="1"/>
  <c r="G83" i="9"/>
  <c r="E37" i="9"/>
  <c r="F77" i="9"/>
  <c r="D139" i="9"/>
  <c r="O139" i="9" s="1"/>
  <c r="D6" i="9"/>
  <c r="O6" i="9" s="1"/>
  <c r="K142" i="9"/>
  <c r="D83" i="9"/>
  <c r="O83" i="9" s="1"/>
  <c r="J65" i="9"/>
  <c r="E13" i="9"/>
  <c r="E35" i="9"/>
  <c r="F129" i="9"/>
  <c r="D78" i="9"/>
  <c r="O78" i="9" s="1"/>
  <c r="E110" i="9"/>
  <c r="D110" i="9"/>
  <c r="O110" i="9" s="1"/>
  <c r="D93" i="9"/>
  <c r="O93" i="9" s="1"/>
  <c r="D132" i="9"/>
  <c r="O132" i="9" s="1"/>
  <c r="H126" i="9"/>
  <c r="I123" i="9"/>
  <c r="F50" i="9"/>
  <c r="G138" i="9"/>
  <c r="K88" i="9"/>
  <c r="G49" i="9"/>
  <c r="G86" i="9"/>
  <c r="E105" i="9"/>
  <c r="J58" i="9"/>
  <c r="F70" i="9"/>
  <c r="I44" i="9"/>
  <c r="J131" i="9"/>
  <c r="J81" i="9"/>
  <c r="E17" i="9"/>
  <c r="D76" i="9"/>
  <c r="O76" i="9" s="1"/>
  <c r="G39" i="9"/>
  <c r="J92" i="9"/>
  <c r="J83" i="9"/>
  <c r="H55" i="9"/>
  <c r="G82" i="9"/>
  <c r="H89" i="9"/>
  <c r="E79" i="9"/>
  <c r="E27" i="9"/>
  <c r="I45" i="9"/>
  <c r="I129" i="9"/>
  <c r="F42" i="9"/>
  <c r="E90" i="9"/>
  <c r="E77" i="9"/>
  <c r="D40" i="9"/>
  <c r="O40" i="9" s="1"/>
  <c r="H25" i="9"/>
  <c r="K78" i="9"/>
  <c r="H43" i="9"/>
  <c r="E126" i="9"/>
  <c r="D137" i="9"/>
  <c r="O137" i="9" s="1"/>
  <c r="F43" i="9"/>
  <c r="F134" i="9"/>
  <c r="J146" i="9"/>
  <c r="G116" i="9"/>
  <c r="F110" i="9"/>
  <c r="F146" i="9"/>
  <c r="H36" i="9"/>
  <c r="G93" i="9"/>
  <c r="E61" i="9"/>
  <c r="H135" i="9"/>
  <c r="G132" i="9"/>
  <c r="K126" i="9"/>
  <c r="F53" i="9"/>
  <c r="K111" i="9"/>
  <c r="E24" i="9"/>
  <c r="D123" i="9"/>
  <c r="O123" i="9" s="1"/>
  <c r="D75" i="9"/>
  <c r="O75" i="9" s="1"/>
  <c r="D14" i="9"/>
  <c r="O14" i="9" s="1"/>
  <c r="J109" i="9"/>
  <c r="E128" i="9"/>
  <c r="J88" i="9"/>
  <c r="K133" i="9"/>
  <c r="D51" i="9"/>
  <c r="O51" i="9" s="1"/>
  <c r="F86" i="9"/>
  <c r="I70" i="9"/>
  <c r="I84" i="9"/>
  <c r="H44" i="9"/>
  <c r="K114" i="9"/>
  <c r="E131" i="9"/>
  <c r="K81" i="9"/>
  <c r="G76" i="9"/>
  <c r="H39" i="9"/>
  <c r="F92" i="9"/>
  <c r="F83" i="9"/>
  <c r="G143" i="9"/>
  <c r="D73" i="9"/>
  <c r="O73" i="9" s="1"/>
  <c r="H82" i="9"/>
  <c r="D71" i="9"/>
  <c r="O71" i="9" s="1"/>
  <c r="I79" i="9"/>
  <c r="E95" i="9"/>
  <c r="G27" i="9"/>
  <c r="E85" i="9"/>
  <c r="F45" i="9"/>
  <c r="D112" i="9"/>
  <c r="O112" i="9" s="1"/>
  <c r="D11" i="9"/>
  <c r="O11" i="9" s="1"/>
  <c r="G28" i="9"/>
  <c r="K77" i="9"/>
  <c r="I40" i="9"/>
  <c r="F25" i="9"/>
  <c r="K87" i="9"/>
  <c r="J78" i="9"/>
  <c r="D124" i="9"/>
  <c r="O124" i="9" s="1"/>
  <c r="I115" i="9"/>
  <c r="F78" i="9"/>
  <c r="I144" i="9"/>
  <c r="H75" i="9"/>
  <c r="F136" i="9"/>
  <c r="F75" i="9"/>
  <c r="I36" i="9"/>
  <c r="D61" i="9"/>
  <c r="O61" i="9" s="1"/>
  <c r="I76" i="9"/>
  <c r="I35" i="9"/>
  <c r="I61" i="9"/>
  <c r="G19" i="9"/>
  <c r="K93" i="9"/>
  <c r="E22" i="9"/>
  <c r="F76" i="9"/>
  <c r="D62" i="9"/>
  <c r="O62" i="9" s="1"/>
  <c r="I104" i="9"/>
  <c r="D36" i="9"/>
  <c r="O36" i="9" s="1"/>
  <c r="J122" i="9"/>
  <c r="J98" i="9"/>
  <c r="J117" i="9"/>
  <c r="H51" i="9"/>
  <c r="G81" i="9"/>
  <c r="J76" i="9"/>
  <c r="F79" i="9"/>
  <c r="I95" i="9"/>
  <c r="E66" i="9"/>
  <c r="G25" i="9"/>
  <c r="H87" i="9"/>
  <c r="E144" i="9"/>
  <c r="E115" i="9"/>
  <c r="I146" i="9"/>
  <c r="I91" i="9"/>
  <c r="D104" i="9"/>
  <c r="O104" i="9" s="1"/>
  <c r="I116" i="9"/>
  <c r="E31" i="9"/>
  <c r="F29" i="9"/>
  <c r="K91" i="9"/>
  <c r="D98" i="9"/>
  <c r="O98" i="9" s="1"/>
  <c r="J128" i="9"/>
  <c r="G107" i="9"/>
  <c r="D92" i="9"/>
  <c r="O92" i="9" s="1"/>
  <c r="E30" i="9"/>
  <c r="D130" i="9"/>
  <c r="O130" i="9" s="1"/>
  <c r="F19" i="9"/>
  <c r="H113" i="9"/>
  <c r="F141" i="9"/>
  <c r="I47" i="9"/>
  <c r="J139" i="9"/>
  <c r="I103" i="9"/>
  <c r="E145" i="9"/>
  <c r="I37" i="9"/>
  <c r="I118" i="9"/>
  <c r="G35" i="9"/>
  <c r="J66" i="9"/>
  <c r="H101" i="9"/>
  <c r="H78" i="9"/>
  <c r="F147" i="9"/>
  <c r="E123" i="9"/>
  <c r="K134" i="9"/>
  <c r="G97" i="9"/>
  <c r="K115" i="9"/>
  <c r="H31" i="9"/>
  <c r="J145" i="9"/>
  <c r="K138" i="9"/>
  <c r="F115" i="9"/>
  <c r="F30" i="9"/>
  <c r="K130" i="9"/>
  <c r="D114" i="9"/>
  <c r="O114" i="9" s="1"/>
  <c r="I131" i="9"/>
  <c r="D19" i="9"/>
  <c r="O19" i="9" s="1"/>
  <c r="K113" i="9"/>
  <c r="H141" i="9"/>
  <c r="H41" i="9"/>
  <c r="I121" i="9"/>
  <c r="J103" i="9"/>
  <c r="J118" i="9"/>
  <c r="J102" i="9"/>
  <c r="F101" i="9"/>
  <c r="I136" i="9"/>
  <c r="L147" i="9"/>
  <c r="L148" i="9" s="1"/>
  <c r="G134" i="9"/>
  <c r="F118" i="9"/>
  <c r="F145" i="9"/>
  <c r="I133" i="9"/>
  <c r="E68" i="9"/>
  <c r="H91" i="9"/>
  <c r="E98" i="9"/>
  <c r="H110" i="9"/>
  <c r="G72" i="9"/>
  <c r="G36" i="9"/>
  <c r="G91" i="9"/>
  <c r="H142" i="9"/>
  <c r="F98" i="9"/>
  <c r="H128" i="9"/>
  <c r="F124" i="9"/>
  <c r="G30" i="9"/>
  <c r="K102" i="9"/>
  <c r="H130" i="9"/>
  <c r="J113" i="9"/>
  <c r="I113" i="9"/>
  <c r="D141" i="9"/>
  <c r="O141" i="9" s="1"/>
  <c r="J121" i="9"/>
  <c r="F103" i="9"/>
  <c r="H15" i="9"/>
  <c r="G118" i="9"/>
  <c r="G145" i="9"/>
  <c r="G136" i="9"/>
  <c r="I134" i="9"/>
  <c r="G128" i="9"/>
  <c r="E93" i="9"/>
  <c r="F116" i="9"/>
  <c r="D31" i="9"/>
  <c r="O31" i="9" s="1"/>
  <c r="F91" i="9"/>
  <c r="H98" i="9"/>
  <c r="F128" i="9"/>
  <c r="H145" i="9"/>
  <c r="D102" i="9"/>
  <c r="O102" i="9" s="1"/>
  <c r="F130" i="9"/>
  <c r="D131" i="9"/>
  <c r="O131" i="9" s="1"/>
  <c r="F113" i="9"/>
  <c r="G147" i="9"/>
  <c r="E141" i="9"/>
  <c r="E5" i="9"/>
  <c r="I139" i="9"/>
  <c r="G103" i="9"/>
  <c r="G124" i="9"/>
  <c r="K145" i="9"/>
  <c r="D118" i="9"/>
  <c r="O118" i="9" s="1"/>
  <c r="I147" i="9"/>
  <c r="I66" i="9"/>
  <c r="G130" i="9"/>
  <c r="K75" i="9"/>
  <c r="E147" i="9"/>
  <c r="J147" i="9"/>
  <c r="D115" i="9"/>
  <c r="O115" i="9" s="1"/>
  <c r="G121" i="9"/>
  <c r="E94" i="9"/>
  <c r="G10" i="9"/>
  <c r="E99" i="9"/>
  <c r="I65" i="9"/>
  <c r="G38" i="9"/>
  <c r="J120" i="9"/>
  <c r="J127" i="9"/>
  <c r="G29" i="9"/>
  <c r="K129" i="9"/>
  <c r="H29" i="9"/>
  <c r="E91" i="9"/>
  <c r="I128" i="9"/>
  <c r="F133" i="9"/>
  <c r="E130" i="9"/>
  <c r="D113" i="9"/>
  <c r="O113" i="9" s="1"/>
  <c r="D142" i="9"/>
  <c r="O142" i="9" s="1"/>
  <c r="G141" i="9"/>
  <c r="F121" i="9"/>
  <c r="H103" i="9"/>
  <c r="E143" i="9"/>
  <c r="K118" i="9"/>
  <c r="E32" i="9"/>
  <c r="F66" i="9"/>
  <c r="G101" i="9"/>
  <c r="E120" i="9"/>
  <c r="D122" i="9"/>
  <c r="O122" i="9" s="1"/>
  <c r="H134" i="9"/>
  <c r="H115" i="9"/>
  <c r="E21" i="9"/>
  <c r="I98" i="9"/>
  <c r="I130" i="9"/>
  <c r="J141" i="9"/>
  <c r="K141" i="9"/>
  <c r="H121" i="9"/>
  <c r="E103" i="9"/>
  <c r="D67" i="9"/>
  <c r="H118" i="9"/>
  <c r="F32" i="9"/>
  <c r="D129" i="9"/>
  <c r="O129" i="9" s="1"/>
  <c r="H66" i="9"/>
  <c r="H42" i="9"/>
  <c r="K101" i="9"/>
  <c r="K147" i="9"/>
  <c r="J115" i="9"/>
  <c r="J137" i="9"/>
  <c r="D116" i="9"/>
  <c r="O116" i="9" s="1"/>
  <c r="H140" i="9"/>
  <c r="D29" i="9"/>
  <c r="O29" i="9" s="1"/>
  <c r="G104" i="9"/>
  <c r="J55" i="9"/>
  <c r="J91" i="9"/>
  <c r="K98" i="9"/>
  <c r="H133" i="9"/>
  <c r="D30" i="9"/>
  <c r="O30" i="9" s="1"/>
  <c r="F22" i="9"/>
  <c r="E100" i="9"/>
  <c r="G113" i="9"/>
  <c r="H147" i="9"/>
  <c r="I57" i="9"/>
  <c r="H24" i="9"/>
  <c r="F60" i="9"/>
  <c r="J93" i="9"/>
  <c r="D57" i="9"/>
  <c r="O57" i="9" s="1"/>
  <c r="H106" i="9"/>
  <c r="H50" i="9"/>
  <c r="G119" i="9"/>
  <c r="G12" i="9"/>
  <c r="D107" i="9"/>
  <c r="O107" i="9" s="1"/>
  <c r="I117" i="9"/>
  <c r="I30" i="9"/>
  <c r="G105" i="9"/>
  <c r="D58" i="9"/>
  <c r="O58" i="9" s="1"/>
  <c r="J130" i="9"/>
  <c r="J70" i="9"/>
  <c r="H19" i="9"/>
  <c r="I41" i="9"/>
  <c r="G94" i="9"/>
  <c r="E59" i="9"/>
  <c r="F65" i="9"/>
  <c r="I34" i="9"/>
  <c r="I27" i="9"/>
  <c r="H38" i="9"/>
  <c r="J45" i="9"/>
  <c r="D66" i="9"/>
  <c r="O66" i="9" s="1"/>
  <c r="K127" i="9"/>
  <c r="J40" i="9"/>
  <c r="J101" i="9"/>
  <c r="G120" i="9"/>
  <c r="J142" i="9"/>
  <c r="F94" i="9"/>
  <c r="I119" i="9"/>
  <c r="D128" i="9"/>
  <c r="O128" i="9" s="1"/>
  <c r="G133" i="9"/>
  <c r="F7" i="9"/>
  <c r="H94" i="9"/>
  <c r="D121" i="9"/>
  <c r="O121" i="9" s="1"/>
  <c r="H65" i="9"/>
  <c r="G34" i="9"/>
  <c r="I145" i="9"/>
  <c r="D20" i="9"/>
  <c r="O20" i="9" s="1"/>
  <c r="H77" i="9"/>
  <c r="K120" i="9"/>
  <c r="I138" i="9"/>
  <c r="I99" i="9"/>
  <c r="D100" i="9"/>
  <c r="O100" i="9" s="1"/>
  <c r="K137" i="9"/>
  <c r="I75" i="9"/>
  <c r="E23" i="9"/>
  <c r="G57" i="9"/>
  <c r="K106" i="9"/>
  <c r="G126" i="9"/>
  <c r="F68" i="9"/>
  <c r="E96" i="9"/>
  <c r="H16" i="9"/>
  <c r="D24" i="9"/>
  <c r="O24" i="9" s="1"/>
  <c r="F123" i="9"/>
  <c r="H119" i="9"/>
  <c r="G26" i="9"/>
  <c r="I22" i="9"/>
  <c r="E7" i="9"/>
  <c r="G100" i="9"/>
  <c r="I94" i="9"/>
  <c r="K76" i="9"/>
  <c r="D39" i="9"/>
  <c r="O39" i="9" s="1"/>
  <c r="E67" i="9"/>
  <c r="E34" i="9"/>
  <c r="J74" i="9"/>
  <c r="K95" i="9"/>
  <c r="F38" i="9"/>
  <c r="E127" i="9"/>
  <c r="G20" i="9"/>
  <c r="J62" i="9"/>
  <c r="D120" i="9"/>
  <c r="O120" i="9" s="1"/>
  <c r="I124" i="9"/>
  <c r="D135" i="9"/>
  <c r="O135" i="9" s="1"/>
  <c r="H139" i="9"/>
  <c r="F23" i="9"/>
  <c r="J119" i="9"/>
  <c r="H46" i="9"/>
  <c r="F102" i="9"/>
  <c r="E9" i="9"/>
  <c r="G106" i="9"/>
  <c r="H131" i="9"/>
  <c r="F41" i="9"/>
  <c r="D94" i="9"/>
  <c r="O94" i="9" s="1"/>
  <c r="F97" i="9"/>
  <c r="G125" i="9"/>
  <c r="E121" i="9"/>
  <c r="D65" i="9"/>
  <c r="O65" i="9" s="1"/>
  <c r="G13" i="9"/>
  <c r="F15" i="9"/>
  <c r="F34" i="9"/>
  <c r="K79" i="9"/>
  <c r="K99" i="9"/>
  <c r="I38" i="9"/>
  <c r="I112" i="9"/>
  <c r="E129" i="9"/>
  <c r="G127" i="9"/>
  <c r="E20" i="9"/>
  <c r="E101" i="9"/>
  <c r="F10" i="9"/>
  <c r="H120" i="9"/>
  <c r="D99" i="9"/>
  <c r="O99" i="9" s="1"/>
  <c r="G99" i="9"/>
  <c r="J99" i="9"/>
  <c r="E36" i="9"/>
  <c r="J57" i="9"/>
  <c r="F106" i="9"/>
  <c r="F57" i="9"/>
  <c r="H21" i="9"/>
  <c r="E106" i="9"/>
  <c r="F99" i="9"/>
  <c r="D119" i="9"/>
  <c r="O119" i="9" s="1"/>
  <c r="F109" i="9"/>
  <c r="E12" i="9"/>
  <c r="H127" i="9"/>
  <c r="D5" i="9"/>
  <c r="O5" i="9" s="1"/>
  <c r="K94" i="9"/>
  <c r="G65" i="9"/>
  <c r="D13" i="9"/>
  <c r="O13" i="9" s="1"/>
  <c r="D95" i="9"/>
  <c r="O95" i="9" s="1"/>
  <c r="H35" i="9"/>
  <c r="D38" i="9"/>
  <c r="O38" i="9" s="1"/>
  <c r="H20" i="9"/>
  <c r="D10" i="9"/>
  <c r="O10" i="9" s="1"/>
  <c r="F120" i="9"/>
  <c r="F122" i="9"/>
  <c r="E122" i="9"/>
  <c r="I120" i="9"/>
  <c r="D23" i="9"/>
  <c r="O23" i="9" s="1"/>
  <c r="H111" i="9"/>
  <c r="I23" i="9"/>
  <c r="K110" i="9"/>
  <c r="H23" i="9"/>
  <c r="H57" i="9"/>
  <c r="I106" i="9"/>
  <c r="H132" i="9"/>
  <c r="F119" i="9"/>
  <c r="G63" i="9"/>
  <c r="F26" i="9"/>
  <c r="D12" i="9"/>
  <c r="O12" i="9" s="1"/>
  <c r="F127" i="9"/>
  <c r="G9" i="9"/>
  <c r="E65" i="9"/>
  <c r="G15" i="9"/>
  <c r="D35" i="9"/>
  <c r="O35" i="9" s="1"/>
  <c r="E38" i="9"/>
  <c r="I56" i="9"/>
  <c r="G112" i="9"/>
  <c r="I127" i="9"/>
  <c r="F20" i="9"/>
  <c r="E40" i="9"/>
  <c r="I25" i="9"/>
  <c r="I137" i="9"/>
  <c r="D21" i="9"/>
  <c r="O21" i="9" s="1"/>
  <c r="J106" i="9"/>
  <c r="E6" i="9"/>
  <c r="E14" i="9"/>
  <c r="J48" i="9"/>
  <c r="J135" i="9"/>
  <c r="D9" i="9"/>
  <c r="O9" i="9" s="1"/>
  <c r="G44" i="9"/>
  <c r="I83" i="9"/>
  <c r="H34" i="9"/>
  <c r="D43" i="9"/>
  <c r="O43" i="9" s="1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K148" i="9" l="1"/>
  <c r="I148" i="9"/>
  <c r="E148" i="9"/>
  <c r="J148" i="9"/>
  <c r="O67" i="9"/>
  <c r="D148" i="9"/>
  <c r="F148" i="9"/>
  <c r="G148" i="9"/>
  <c r="H148" i="9"/>
  <c r="AB4" i="7"/>
  <c r="Q44" i="5" l="1"/>
  <c r="A16" i="5"/>
  <c r="AG14" i="4"/>
  <c r="AK14" i="4" s="1"/>
  <c r="AH14" i="4"/>
  <c r="AL14" i="4" s="1"/>
  <c r="AI14" i="4"/>
  <c r="AM14" i="4" s="1"/>
  <c r="AJ14" i="4"/>
  <c r="AN14" i="4" s="1"/>
  <c r="AG15" i="4"/>
  <c r="AK15" i="4" s="1"/>
  <c r="AH15" i="4"/>
  <c r="AL15" i="4" s="1"/>
  <c r="AI15" i="4"/>
  <c r="AM15" i="4" s="1"/>
  <c r="AJ15" i="4"/>
  <c r="AN15" i="4" s="1"/>
  <c r="AG16" i="4"/>
  <c r="AK16" i="4" s="1"/>
  <c r="AH16" i="4"/>
  <c r="AL16" i="4" s="1"/>
  <c r="AI16" i="4"/>
  <c r="AM16" i="4" s="1"/>
  <c r="AJ16" i="4"/>
  <c r="AN16" i="4" s="1"/>
  <c r="AG17" i="4"/>
  <c r="AK17" i="4" s="1"/>
  <c r="AH17" i="4"/>
  <c r="AL17" i="4" s="1"/>
  <c r="AI17" i="4"/>
  <c r="AM17" i="4" s="1"/>
  <c r="AJ17" i="4"/>
  <c r="AN17" i="4" s="1"/>
  <c r="AG18" i="4"/>
  <c r="AK18" i="4" s="1"/>
  <c r="AH18" i="4"/>
  <c r="AL18" i="4" s="1"/>
  <c r="O18" i="7" s="1"/>
  <c r="AI18" i="4"/>
  <c r="AM18" i="4" s="1"/>
  <c r="AJ18" i="4"/>
  <c r="AN18" i="4" s="1"/>
  <c r="AG19" i="4"/>
  <c r="AK19" i="4" s="1"/>
  <c r="AH19" i="4"/>
  <c r="AL19" i="4" s="1"/>
  <c r="AI19" i="4"/>
  <c r="AM19" i="4" s="1"/>
  <c r="AJ19" i="4"/>
  <c r="AN19" i="4" s="1"/>
  <c r="AG20" i="4"/>
  <c r="AK20" i="4" s="1"/>
  <c r="I20" i="7" s="1"/>
  <c r="AH20" i="4"/>
  <c r="AL20" i="4" s="1"/>
  <c r="AI20" i="4"/>
  <c r="AM20" i="4" s="1"/>
  <c r="AJ20" i="4"/>
  <c r="AN20" i="4" s="1"/>
  <c r="AG21" i="4"/>
  <c r="AK21" i="4" s="1"/>
  <c r="AH21" i="4"/>
  <c r="AL21" i="4" s="1"/>
  <c r="AI21" i="4"/>
  <c r="AM21" i="4" s="1"/>
  <c r="AJ21" i="4"/>
  <c r="AN21" i="4" s="1"/>
  <c r="AG22" i="4"/>
  <c r="AK22" i="4" s="1"/>
  <c r="AH22" i="4"/>
  <c r="AL22" i="4" s="1"/>
  <c r="AI22" i="4"/>
  <c r="AM22" i="4" s="1"/>
  <c r="AJ22" i="4"/>
  <c r="AN22" i="4" s="1"/>
  <c r="AG23" i="4"/>
  <c r="AK23" i="4" s="1"/>
  <c r="AH23" i="4"/>
  <c r="AL23" i="4" s="1"/>
  <c r="AI23" i="4"/>
  <c r="AM23" i="4" s="1"/>
  <c r="AJ23" i="4"/>
  <c r="AN23" i="4" s="1"/>
  <c r="AG24" i="4"/>
  <c r="AK24" i="4" s="1"/>
  <c r="AH24" i="4"/>
  <c r="AL24" i="4" s="1"/>
  <c r="P24" i="7" s="1"/>
  <c r="AI24" i="4"/>
  <c r="AM24" i="4" s="1"/>
  <c r="AJ24" i="4"/>
  <c r="AN24" i="4" s="1"/>
  <c r="AG25" i="4"/>
  <c r="AK25" i="4" s="1"/>
  <c r="AH25" i="4"/>
  <c r="AL25" i="4" s="1"/>
  <c r="AI25" i="4"/>
  <c r="AM25" i="4" s="1"/>
  <c r="AJ25" i="4"/>
  <c r="AN25" i="4" s="1"/>
  <c r="AG26" i="4"/>
  <c r="AK26" i="4" s="1"/>
  <c r="AH26" i="4"/>
  <c r="AL26" i="4" s="1"/>
  <c r="AI26" i="4"/>
  <c r="AM26" i="4" s="1"/>
  <c r="AJ26" i="4"/>
  <c r="AN26" i="4" s="1"/>
  <c r="AG27" i="4"/>
  <c r="AK27" i="4" s="1"/>
  <c r="AH27" i="4"/>
  <c r="AL27" i="4" s="1"/>
  <c r="AI27" i="4"/>
  <c r="AM27" i="4" s="1"/>
  <c r="AJ27" i="4"/>
  <c r="AN27" i="4" s="1"/>
  <c r="AG28" i="4"/>
  <c r="AK28" i="4" s="1"/>
  <c r="AH28" i="4"/>
  <c r="AL28" i="4" s="1"/>
  <c r="AI28" i="4"/>
  <c r="AM28" i="4" s="1"/>
  <c r="AJ28" i="4"/>
  <c r="AN28" i="4" s="1"/>
  <c r="AG29" i="4"/>
  <c r="AK29" i="4" s="1"/>
  <c r="AH29" i="4"/>
  <c r="AL29" i="4" s="1"/>
  <c r="AI29" i="4"/>
  <c r="AM29" i="4" s="1"/>
  <c r="AJ29" i="4"/>
  <c r="AN29" i="4" s="1"/>
  <c r="AG30" i="4"/>
  <c r="AK30" i="4" s="1"/>
  <c r="AH30" i="4"/>
  <c r="AL30" i="4" s="1"/>
  <c r="AI30" i="4"/>
  <c r="AM30" i="4" s="1"/>
  <c r="AJ30" i="4"/>
  <c r="AN30" i="4" s="1"/>
  <c r="AG31" i="4"/>
  <c r="AK31" i="4" s="1"/>
  <c r="AH31" i="4"/>
  <c r="AL31" i="4" s="1"/>
  <c r="AI31" i="4"/>
  <c r="AM31" i="4" s="1"/>
  <c r="AJ31" i="4"/>
  <c r="AN31" i="4" s="1"/>
  <c r="AG32" i="4"/>
  <c r="AK32" i="4" s="1"/>
  <c r="AH32" i="4"/>
  <c r="AL32" i="4" s="1"/>
  <c r="AI32" i="4"/>
  <c r="AM32" i="4" s="1"/>
  <c r="AJ32" i="4"/>
  <c r="AN32" i="4" s="1"/>
  <c r="AG33" i="4"/>
  <c r="AK33" i="4" s="1"/>
  <c r="AH33" i="4"/>
  <c r="AL33" i="4" s="1"/>
  <c r="AI33" i="4"/>
  <c r="AM33" i="4" s="1"/>
  <c r="AJ33" i="4"/>
  <c r="AN33" i="4" s="1"/>
  <c r="AG34" i="4"/>
  <c r="AK34" i="4" s="1"/>
  <c r="AH34" i="4"/>
  <c r="AL34" i="4" s="1"/>
  <c r="AI34" i="4"/>
  <c r="AM34" i="4" s="1"/>
  <c r="AJ34" i="4"/>
  <c r="AN34" i="4" s="1"/>
  <c r="AG35" i="4"/>
  <c r="AK35" i="4" s="1"/>
  <c r="AH35" i="4"/>
  <c r="AL35" i="4" s="1"/>
  <c r="AI35" i="4"/>
  <c r="AM35" i="4" s="1"/>
  <c r="AJ35" i="4"/>
  <c r="AN35" i="4" s="1"/>
  <c r="AG36" i="4"/>
  <c r="AK36" i="4" s="1"/>
  <c r="AH36" i="4"/>
  <c r="AL36" i="4" s="1"/>
  <c r="N36" i="7" s="1"/>
  <c r="AI36" i="4"/>
  <c r="AM36" i="4" s="1"/>
  <c r="AJ36" i="4"/>
  <c r="AN36" i="4" s="1"/>
  <c r="AG37" i="4"/>
  <c r="AK37" i="4" s="1"/>
  <c r="AH37" i="4"/>
  <c r="AL37" i="4" s="1"/>
  <c r="AI37" i="4"/>
  <c r="AM37" i="4" s="1"/>
  <c r="AJ37" i="4"/>
  <c r="AN37" i="4" s="1"/>
  <c r="AG38" i="4"/>
  <c r="AK38" i="4" s="1"/>
  <c r="AH38" i="4"/>
  <c r="AL38" i="4" s="1"/>
  <c r="AI38" i="4"/>
  <c r="AM38" i="4" s="1"/>
  <c r="AJ38" i="4"/>
  <c r="AN38" i="4" s="1"/>
  <c r="AG39" i="4"/>
  <c r="AK39" i="4" s="1"/>
  <c r="AH39" i="4"/>
  <c r="AL39" i="4" s="1"/>
  <c r="AI39" i="4"/>
  <c r="AM39" i="4" s="1"/>
  <c r="AJ39" i="4"/>
  <c r="AN39" i="4" s="1"/>
  <c r="AG40" i="4"/>
  <c r="AK40" i="4" s="1"/>
  <c r="AH40" i="4"/>
  <c r="AL40" i="4" s="1"/>
  <c r="AI40" i="4"/>
  <c r="AM40" i="4" s="1"/>
  <c r="AJ40" i="4"/>
  <c r="AN40" i="4" s="1"/>
  <c r="AG41" i="4"/>
  <c r="AK41" i="4" s="1"/>
  <c r="AH41" i="4"/>
  <c r="AL41" i="4" s="1"/>
  <c r="N41" i="7" s="1"/>
  <c r="AI41" i="4"/>
  <c r="AM41" i="4" s="1"/>
  <c r="AJ41" i="4"/>
  <c r="AN41" i="4" s="1"/>
  <c r="AJ12" i="4"/>
  <c r="AN12" i="4" s="1"/>
  <c r="AG42" i="4"/>
  <c r="AK42" i="4" s="1"/>
  <c r="I41" i="7" l="1"/>
  <c r="K41" i="7"/>
  <c r="L41" i="7"/>
  <c r="J41" i="7"/>
  <c r="M41" i="7"/>
  <c r="H41" i="7"/>
  <c r="H36" i="7"/>
  <c r="J36" i="7"/>
  <c r="K36" i="7"/>
  <c r="M36" i="7"/>
  <c r="I35" i="7"/>
  <c r="J35" i="7"/>
  <c r="K35" i="7"/>
  <c r="L35" i="7"/>
  <c r="M35" i="7"/>
  <c r="P35" i="7"/>
  <c r="O35" i="7"/>
  <c r="Q35" i="7"/>
  <c r="R35" i="7"/>
  <c r="S35" i="7"/>
  <c r="N35" i="7"/>
  <c r="Z36" i="7"/>
  <c r="AA36" i="7"/>
  <c r="AB36" i="7"/>
  <c r="AE36" i="7"/>
  <c r="AC36" i="7"/>
  <c r="AD36" i="7"/>
  <c r="P41" i="7"/>
  <c r="Q41" i="7"/>
  <c r="R41" i="7"/>
  <c r="S41" i="7"/>
  <c r="O41" i="7"/>
  <c r="P38" i="7"/>
  <c r="Q38" i="7"/>
  <c r="R38" i="7"/>
  <c r="O38" i="7"/>
  <c r="S38" i="7"/>
  <c r="I38" i="7"/>
  <c r="J38" i="7"/>
  <c r="X38" i="7"/>
  <c r="Y38" i="7"/>
  <c r="T38" i="7"/>
  <c r="V38" i="7"/>
  <c r="U38" i="7"/>
  <c r="W38" i="7"/>
  <c r="Z35" i="7"/>
  <c r="AD35" i="7"/>
  <c r="AA35" i="7"/>
  <c r="AB35" i="7"/>
  <c r="AC35" i="7"/>
  <c r="AE35" i="7"/>
  <c r="Z38" i="7"/>
  <c r="AD38" i="7"/>
  <c r="AE38" i="7"/>
  <c r="AA38" i="7"/>
  <c r="AB38" i="7"/>
  <c r="AC38" i="7"/>
  <c r="X36" i="7"/>
  <c r="Y36" i="7"/>
  <c r="V36" i="7"/>
  <c r="W36" i="7"/>
  <c r="T36" i="7"/>
  <c r="U36" i="7"/>
  <c r="P36" i="7"/>
  <c r="Q36" i="7"/>
  <c r="R36" i="7"/>
  <c r="O36" i="7"/>
  <c r="S36" i="7"/>
  <c r="I36" i="7"/>
  <c r="L36" i="7"/>
  <c r="Z41" i="7"/>
  <c r="AE41" i="7"/>
  <c r="AA41" i="7"/>
  <c r="AB41" i="7"/>
  <c r="AD41" i="7"/>
  <c r="AC41" i="7"/>
  <c r="X41" i="7"/>
  <c r="Y41" i="7"/>
  <c r="V41" i="7"/>
  <c r="W41" i="7"/>
  <c r="T41" i="7"/>
  <c r="U41" i="7"/>
  <c r="X35" i="7"/>
  <c r="Y35" i="7"/>
  <c r="W35" i="7"/>
  <c r="T35" i="7"/>
  <c r="V35" i="7"/>
  <c r="U35" i="7"/>
  <c r="Z40" i="7"/>
  <c r="AB40" i="7"/>
  <c r="AA40" i="7"/>
  <c r="AC40" i="7"/>
  <c r="AD40" i="7"/>
  <c r="AE40" i="7"/>
  <c r="U40" i="7"/>
  <c r="T40" i="7"/>
  <c r="V40" i="7"/>
  <c r="W40" i="7"/>
  <c r="X40" i="7"/>
  <c r="Y40" i="7"/>
  <c r="J40" i="7"/>
  <c r="L40" i="7"/>
  <c r="K40" i="7"/>
  <c r="M40" i="7"/>
  <c r="I40" i="7"/>
  <c r="H40" i="7"/>
  <c r="R40" i="7"/>
  <c r="P40" i="7"/>
  <c r="Q40" i="7"/>
  <c r="S40" i="7"/>
  <c r="N40" i="7"/>
  <c r="O40" i="7"/>
  <c r="P39" i="7"/>
  <c r="Q39" i="7"/>
  <c r="R39" i="7"/>
  <c r="S39" i="7"/>
  <c r="N39" i="7"/>
  <c r="O39" i="7"/>
  <c r="H39" i="7"/>
  <c r="I39" i="7"/>
  <c r="J39" i="7"/>
  <c r="K39" i="7"/>
  <c r="L39" i="7"/>
  <c r="M39" i="7"/>
  <c r="Z39" i="7"/>
  <c r="AA39" i="7"/>
  <c r="AB39" i="7"/>
  <c r="AE39" i="7"/>
  <c r="AC39" i="7"/>
  <c r="AD39" i="7"/>
  <c r="X39" i="7"/>
  <c r="T39" i="7"/>
  <c r="U39" i="7"/>
  <c r="W39" i="7"/>
  <c r="V39" i="7"/>
  <c r="Y39" i="7"/>
  <c r="S37" i="7"/>
  <c r="P37" i="7"/>
  <c r="Q37" i="7"/>
  <c r="N37" i="7"/>
  <c r="O37" i="7"/>
  <c r="R37" i="7"/>
  <c r="K37" i="7"/>
  <c r="M37" i="7"/>
  <c r="J37" i="7"/>
  <c r="L37" i="7"/>
  <c r="H37" i="7"/>
  <c r="I37" i="7"/>
  <c r="AA37" i="7"/>
  <c r="AC37" i="7"/>
  <c r="AB37" i="7"/>
  <c r="Z37" i="7"/>
  <c r="AD37" i="7"/>
  <c r="AE37" i="7"/>
  <c r="T37" i="7"/>
  <c r="U37" i="7"/>
  <c r="V37" i="7"/>
  <c r="W37" i="7"/>
  <c r="X37" i="7"/>
  <c r="Y37" i="7"/>
  <c r="AA34" i="7"/>
  <c r="AB34" i="7"/>
  <c r="AC34" i="7"/>
  <c r="Z34" i="7"/>
  <c r="AD34" i="7"/>
  <c r="AE34" i="7"/>
  <c r="S34" i="7"/>
  <c r="Q34" i="7"/>
  <c r="P34" i="7"/>
  <c r="N34" i="7"/>
  <c r="O34" i="7"/>
  <c r="R34" i="7"/>
  <c r="K34" i="7"/>
  <c r="J34" i="7"/>
  <c r="L34" i="7"/>
  <c r="M34" i="7"/>
  <c r="H34" i="7"/>
  <c r="I34" i="7"/>
  <c r="U34" i="7"/>
  <c r="X34" i="7"/>
  <c r="T34" i="7"/>
  <c r="Y34" i="7"/>
  <c r="V34" i="7"/>
  <c r="W34" i="7"/>
  <c r="P44" i="5"/>
  <c r="J44" i="5"/>
  <c r="K44" i="5"/>
  <c r="O44" i="5"/>
  <c r="L44" i="5"/>
  <c r="N44" i="5"/>
  <c r="M44" i="5"/>
  <c r="I44" i="5"/>
  <c r="H16" i="5"/>
  <c r="C16" i="5"/>
  <c r="C12" i="7"/>
  <c r="C13" i="7"/>
  <c r="D13" i="7"/>
  <c r="E13" i="7"/>
  <c r="F13" i="7"/>
  <c r="C14" i="7"/>
  <c r="D14" i="7"/>
  <c r="E14" i="7"/>
  <c r="F14" i="7"/>
  <c r="C15" i="7"/>
  <c r="D15" i="7"/>
  <c r="E15" i="7"/>
  <c r="F15" i="7"/>
  <c r="C16" i="7"/>
  <c r="D16" i="7"/>
  <c r="E16" i="7"/>
  <c r="F16" i="7"/>
  <c r="C17" i="7"/>
  <c r="D17" i="7"/>
  <c r="E17" i="7"/>
  <c r="F17" i="7"/>
  <c r="C18" i="7"/>
  <c r="D18" i="7"/>
  <c r="E18" i="7"/>
  <c r="F18" i="7"/>
  <c r="C19" i="7"/>
  <c r="D19" i="7"/>
  <c r="E19" i="7"/>
  <c r="F19" i="7"/>
  <c r="C20" i="7"/>
  <c r="D20" i="7"/>
  <c r="E20" i="7"/>
  <c r="F20" i="7"/>
  <c r="C21" i="7"/>
  <c r="D21" i="7"/>
  <c r="E21" i="7"/>
  <c r="F21" i="7"/>
  <c r="C22" i="7"/>
  <c r="D22" i="7"/>
  <c r="E22" i="7"/>
  <c r="F22" i="7"/>
  <c r="C23" i="7"/>
  <c r="D23" i="7"/>
  <c r="E23" i="7"/>
  <c r="F23" i="7"/>
  <c r="C24" i="7"/>
  <c r="D24" i="7"/>
  <c r="E24" i="7"/>
  <c r="F24" i="7"/>
  <c r="C25" i="7"/>
  <c r="D25" i="7"/>
  <c r="E25" i="7"/>
  <c r="F25" i="7"/>
  <c r="C26" i="7"/>
  <c r="D26" i="7"/>
  <c r="E26" i="7"/>
  <c r="F26" i="7"/>
  <c r="C27" i="7"/>
  <c r="D27" i="7"/>
  <c r="E27" i="7"/>
  <c r="F27" i="7"/>
  <c r="C28" i="7"/>
  <c r="D28" i="7"/>
  <c r="E28" i="7"/>
  <c r="F28" i="7"/>
  <c r="C29" i="7"/>
  <c r="D29" i="7"/>
  <c r="E29" i="7"/>
  <c r="F29" i="7"/>
  <c r="C30" i="7"/>
  <c r="D30" i="7"/>
  <c r="E30" i="7"/>
  <c r="F30" i="7"/>
  <c r="C31" i="7"/>
  <c r="D31" i="7"/>
  <c r="E31" i="7"/>
  <c r="F31" i="7"/>
  <c r="C32" i="7"/>
  <c r="D32" i="7"/>
  <c r="E32" i="7"/>
  <c r="F32" i="7"/>
  <c r="C33" i="7"/>
  <c r="D33" i="7"/>
  <c r="E33" i="7"/>
  <c r="F33" i="7"/>
  <c r="C34" i="7"/>
  <c r="D34" i="7"/>
  <c r="E34" i="7"/>
  <c r="F34" i="7"/>
  <c r="C35" i="7"/>
  <c r="D35" i="7"/>
  <c r="E35" i="7"/>
  <c r="F35" i="7"/>
  <c r="C36" i="7"/>
  <c r="D36" i="7"/>
  <c r="E36" i="7"/>
  <c r="F36" i="7"/>
  <c r="C37" i="7"/>
  <c r="D37" i="7"/>
  <c r="E37" i="7"/>
  <c r="F37" i="7"/>
  <c r="C38" i="7"/>
  <c r="D38" i="7"/>
  <c r="E38" i="7"/>
  <c r="F38" i="7"/>
  <c r="C39" i="7"/>
  <c r="D39" i="7"/>
  <c r="E39" i="7"/>
  <c r="F39" i="7"/>
  <c r="C40" i="7"/>
  <c r="D40" i="7"/>
  <c r="E40" i="7"/>
  <c r="F40" i="7"/>
  <c r="C41" i="7"/>
  <c r="D41" i="7"/>
  <c r="E41" i="7"/>
  <c r="F41" i="7"/>
  <c r="C42" i="7"/>
  <c r="D42" i="7"/>
  <c r="E42" i="7"/>
  <c r="F42" i="7"/>
  <c r="O45" i="7"/>
  <c r="E45" i="7"/>
  <c r="A13" i="5"/>
  <c r="A14" i="5"/>
  <c r="A15" i="5"/>
  <c r="A17" i="5"/>
  <c r="A18" i="5"/>
  <c r="A19" i="5"/>
  <c r="A20" i="5"/>
  <c r="A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K12" i="4"/>
  <c r="I45" i="7"/>
  <c r="Y45" i="7"/>
  <c r="K16" i="7"/>
  <c r="K14" i="7"/>
  <c r="K18" i="7"/>
  <c r="K20" i="7"/>
  <c r="K23" i="7"/>
  <c r="K24" i="7"/>
  <c r="K25" i="7"/>
  <c r="K26" i="7"/>
  <c r="K27" i="7"/>
  <c r="K28" i="7"/>
  <c r="K29" i="7"/>
  <c r="K30" i="7"/>
  <c r="K31" i="7"/>
  <c r="K33" i="7"/>
  <c r="D12" i="7"/>
  <c r="E12" i="7"/>
  <c r="F12" i="7"/>
  <c r="AB7" i="7"/>
  <c r="X7" i="7"/>
  <c r="X4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12" i="7"/>
  <c r="O14" i="7"/>
  <c r="O16" i="7"/>
  <c r="O20" i="7"/>
  <c r="O23" i="7"/>
  <c r="O24" i="7"/>
  <c r="O25" i="7"/>
  <c r="O26" i="7"/>
  <c r="O27" i="7"/>
  <c r="O28" i="7"/>
  <c r="O29" i="7"/>
  <c r="O30" i="7"/>
  <c r="O31" i="7"/>
  <c r="O33" i="7"/>
  <c r="AI12" i="4"/>
  <c r="AH12" i="4"/>
  <c r="L14" i="7"/>
  <c r="M14" i="7"/>
  <c r="N14" i="7"/>
  <c r="P14" i="7"/>
  <c r="Q14" i="7"/>
  <c r="R14" i="7"/>
  <c r="S14" i="7"/>
  <c r="T14" i="7"/>
  <c r="U14" i="7"/>
  <c r="V14" i="7"/>
  <c r="W14" i="7"/>
  <c r="X14" i="7"/>
  <c r="Y14" i="7"/>
  <c r="Z14" i="7"/>
  <c r="AA14" i="7"/>
  <c r="AB14" i="7"/>
  <c r="AC14" i="7"/>
  <c r="AD14" i="7"/>
  <c r="AE14" i="7"/>
  <c r="J16" i="7"/>
  <c r="L16" i="7"/>
  <c r="M16" i="7"/>
  <c r="N16" i="7"/>
  <c r="P16" i="7"/>
  <c r="Q16" i="7"/>
  <c r="R16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J18" i="7"/>
  <c r="L18" i="7"/>
  <c r="M18" i="7"/>
  <c r="N18" i="7"/>
  <c r="P18" i="7"/>
  <c r="Q18" i="7"/>
  <c r="R18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J20" i="7"/>
  <c r="L20" i="7"/>
  <c r="M20" i="7"/>
  <c r="N20" i="7"/>
  <c r="P20" i="7"/>
  <c r="Q20" i="7"/>
  <c r="S20" i="7"/>
  <c r="T20" i="7"/>
  <c r="U20" i="7"/>
  <c r="V20" i="7"/>
  <c r="W20" i="7"/>
  <c r="X20" i="7"/>
  <c r="Y20" i="7"/>
  <c r="Z20" i="7"/>
  <c r="AA20" i="7"/>
  <c r="AB20" i="7"/>
  <c r="AC20" i="7"/>
  <c r="AD20" i="7"/>
  <c r="AE20" i="7"/>
  <c r="H23" i="7"/>
  <c r="I23" i="7"/>
  <c r="J23" i="7"/>
  <c r="L23" i="7"/>
  <c r="M23" i="7"/>
  <c r="N23" i="7"/>
  <c r="P23" i="7"/>
  <c r="Q23" i="7"/>
  <c r="R23" i="7"/>
  <c r="S23" i="7"/>
  <c r="T23" i="7"/>
  <c r="U23" i="7"/>
  <c r="V23" i="7"/>
  <c r="W23" i="7"/>
  <c r="X23" i="7"/>
  <c r="Y23" i="7"/>
  <c r="Z23" i="7"/>
  <c r="AA23" i="7"/>
  <c r="AB23" i="7"/>
  <c r="AC23" i="7"/>
  <c r="AD23" i="7"/>
  <c r="AE23" i="7"/>
  <c r="H24" i="7"/>
  <c r="I24" i="7"/>
  <c r="J24" i="7"/>
  <c r="L24" i="7"/>
  <c r="M24" i="7"/>
  <c r="N24" i="7"/>
  <c r="Q24" i="7"/>
  <c r="R24" i="7"/>
  <c r="S24" i="7"/>
  <c r="T24" i="7"/>
  <c r="U24" i="7"/>
  <c r="V24" i="7"/>
  <c r="W24" i="7"/>
  <c r="X24" i="7"/>
  <c r="Y24" i="7"/>
  <c r="Z24" i="7"/>
  <c r="AA24" i="7"/>
  <c r="AB24" i="7"/>
  <c r="AC24" i="7"/>
  <c r="AD24" i="7"/>
  <c r="AE24" i="7"/>
  <c r="H25" i="7"/>
  <c r="I25" i="7"/>
  <c r="J25" i="7"/>
  <c r="L25" i="7"/>
  <c r="M25" i="7"/>
  <c r="N25" i="7"/>
  <c r="P25" i="7"/>
  <c r="Q25" i="7"/>
  <c r="R25" i="7"/>
  <c r="S25" i="7"/>
  <c r="T25" i="7"/>
  <c r="U25" i="7"/>
  <c r="V25" i="7"/>
  <c r="W25" i="7"/>
  <c r="X25" i="7"/>
  <c r="Y25" i="7"/>
  <c r="Z25" i="7"/>
  <c r="AA25" i="7"/>
  <c r="AB25" i="7"/>
  <c r="AC25" i="7"/>
  <c r="AD25" i="7"/>
  <c r="AE25" i="7"/>
  <c r="H26" i="7"/>
  <c r="I26" i="7"/>
  <c r="J26" i="7"/>
  <c r="L26" i="7"/>
  <c r="M26" i="7"/>
  <c r="N26" i="7"/>
  <c r="P26" i="7"/>
  <c r="Q26" i="7"/>
  <c r="R26" i="7"/>
  <c r="S26" i="7"/>
  <c r="T26" i="7"/>
  <c r="U26" i="7"/>
  <c r="V26" i="7"/>
  <c r="W26" i="7"/>
  <c r="X26" i="7"/>
  <c r="Y26" i="7"/>
  <c r="Z26" i="7"/>
  <c r="AA26" i="7"/>
  <c r="AB26" i="7"/>
  <c r="AC26" i="7"/>
  <c r="AD26" i="7"/>
  <c r="AE26" i="7"/>
  <c r="H27" i="7"/>
  <c r="I27" i="7"/>
  <c r="J27" i="7"/>
  <c r="L27" i="7"/>
  <c r="M27" i="7"/>
  <c r="N27" i="7"/>
  <c r="P27" i="7"/>
  <c r="Q27" i="7"/>
  <c r="R27" i="7"/>
  <c r="S27" i="7"/>
  <c r="T27" i="7"/>
  <c r="U27" i="7"/>
  <c r="V27" i="7"/>
  <c r="W27" i="7"/>
  <c r="X27" i="7"/>
  <c r="Y27" i="7"/>
  <c r="Z27" i="7"/>
  <c r="AA27" i="7"/>
  <c r="AB27" i="7"/>
  <c r="AC27" i="7"/>
  <c r="AD27" i="7"/>
  <c r="AE27" i="7"/>
  <c r="H28" i="7"/>
  <c r="I28" i="7"/>
  <c r="J28" i="7"/>
  <c r="L28" i="7"/>
  <c r="M28" i="7"/>
  <c r="N28" i="7"/>
  <c r="P28" i="7"/>
  <c r="Q28" i="7"/>
  <c r="R28" i="7"/>
  <c r="S28" i="7"/>
  <c r="T28" i="7"/>
  <c r="U28" i="7"/>
  <c r="V28" i="7"/>
  <c r="W28" i="7"/>
  <c r="X28" i="7"/>
  <c r="Y28" i="7"/>
  <c r="Z28" i="7"/>
  <c r="AA28" i="7"/>
  <c r="AB28" i="7"/>
  <c r="AC28" i="7"/>
  <c r="AD28" i="7"/>
  <c r="AE28" i="7"/>
  <c r="H29" i="7"/>
  <c r="I29" i="7"/>
  <c r="J29" i="7"/>
  <c r="L29" i="7"/>
  <c r="M29" i="7"/>
  <c r="N29" i="7"/>
  <c r="P29" i="7"/>
  <c r="Q29" i="7"/>
  <c r="R29" i="7"/>
  <c r="S29" i="7"/>
  <c r="T29" i="7"/>
  <c r="U29" i="7"/>
  <c r="V29" i="7"/>
  <c r="W29" i="7"/>
  <c r="X29" i="7"/>
  <c r="Y29" i="7"/>
  <c r="Z29" i="7"/>
  <c r="AA29" i="7"/>
  <c r="AB29" i="7"/>
  <c r="AC29" i="7"/>
  <c r="AD29" i="7"/>
  <c r="AE29" i="7"/>
  <c r="H30" i="7"/>
  <c r="I30" i="7"/>
  <c r="J30" i="7"/>
  <c r="L30" i="7"/>
  <c r="M30" i="7"/>
  <c r="N30" i="7"/>
  <c r="P30" i="7"/>
  <c r="Q30" i="7"/>
  <c r="R30" i="7"/>
  <c r="S30" i="7"/>
  <c r="T30" i="7"/>
  <c r="U30" i="7"/>
  <c r="V30" i="7"/>
  <c r="W30" i="7"/>
  <c r="X30" i="7"/>
  <c r="Y30" i="7"/>
  <c r="Z30" i="7"/>
  <c r="AA30" i="7"/>
  <c r="AB30" i="7"/>
  <c r="AC30" i="7"/>
  <c r="AD30" i="7"/>
  <c r="AE30" i="7"/>
  <c r="H31" i="7"/>
  <c r="I31" i="7"/>
  <c r="J31" i="7"/>
  <c r="L31" i="7"/>
  <c r="M31" i="7"/>
  <c r="N31" i="7"/>
  <c r="P31" i="7"/>
  <c r="Q31" i="7"/>
  <c r="R31" i="7"/>
  <c r="S31" i="7"/>
  <c r="T31" i="7"/>
  <c r="U31" i="7"/>
  <c r="V31" i="7"/>
  <c r="W31" i="7"/>
  <c r="X31" i="7"/>
  <c r="Y31" i="7"/>
  <c r="Z31" i="7"/>
  <c r="AA31" i="7"/>
  <c r="AB31" i="7"/>
  <c r="AC31" i="7"/>
  <c r="AD31" i="7"/>
  <c r="AE31" i="7"/>
  <c r="H33" i="7"/>
  <c r="I33" i="7"/>
  <c r="J33" i="7"/>
  <c r="L33" i="7"/>
  <c r="M33" i="7"/>
  <c r="N33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AC33" i="7"/>
  <c r="AD33" i="7"/>
  <c r="AE33" i="7"/>
  <c r="H42" i="7"/>
  <c r="I42" i="7"/>
  <c r="J42" i="7"/>
  <c r="K42" i="7"/>
  <c r="L42" i="7"/>
  <c r="M42" i="7"/>
  <c r="H39" i="5" l="1"/>
  <c r="C39" i="5"/>
  <c r="H38" i="5"/>
  <c r="C38" i="5"/>
  <c r="H30" i="5"/>
  <c r="C30" i="5"/>
  <c r="G22" i="7"/>
  <c r="A22" i="5"/>
  <c r="H13" i="5"/>
  <c r="C13" i="5"/>
  <c r="C31" i="5"/>
  <c r="H31" i="5"/>
  <c r="H37" i="5"/>
  <c r="C37" i="5"/>
  <c r="H29" i="5"/>
  <c r="C29" i="5"/>
  <c r="H21" i="5"/>
  <c r="C21" i="5"/>
  <c r="H23" i="5"/>
  <c r="C23" i="5"/>
  <c r="H36" i="5"/>
  <c r="C36" i="5"/>
  <c r="C28" i="5"/>
  <c r="H28" i="5"/>
  <c r="C20" i="5"/>
  <c r="H20" i="5"/>
  <c r="H14" i="5"/>
  <c r="C14" i="5"/>
  <c r="G12" i="7"/>
  <c r="A12" i="5"/>
  <c r="H35" i="5"/>
  <c r="C35" i="5"/>
  <c r="H27" i="5"/>
  <c r="C27" i="5"/>
  <c r="H19" i="5"/>
  <c r="C19" i="5"/>
  <c r="H42" i="5"/>
  <c r="C42" i="5"/>
  <c r="C34" i="5"/>
  <c r="H34" i="5"/>
  <c r="C26" i="5"/>
  <c r="H26" i="5"/>
  <c r="C18" i="5"/>
  <c r="H18" i="5"/>
  <c r="C41" i="5"/>
  <c r="H41" i="5"/>
  <c r="H33" i="5"/>
  <c r="C33" i="5"/>
  <c r="C25" i="5"/>
  <c r="H25" i="5"/>
  <c r="H17" i="5"/>
  <c r="C17" i="5"/>
  <c r="C40" i="5"/>
  <c r="H40" i="5"/>
  <c r="C32" i="5"/>
  <c r="H32" i="5"/>
  <c r="C24" i="5"/>
  <c r="H24" i="5"/>
  <c r="H15" i="5"/>
  <c r="C15" i="5"/>
  <c r="AM12" i="4"/>
  <c r="X12" i="7" s="1"/>
  <c r="AL12" i="4"/>
  <c r="N12" i="7" s="1"/>
  <c r="AI39" i="7"/>
  <c r="AH35" i="7"/>
  <c r="AJ37" i="7"/>
  <c r="AH31" i="7"/>
  <c r="AG38" i="7"/>
  <c r="AJ39" i="7"/>
  <c r="AJ38" i="7"/>
  <c r="AG37" i="7"/>
  <c r="AI34" i="7"/>
  <c r="AJ33" i="7"/>
  <c r="AH16" i="7"/>
  <c r="AI30" i="7"/>
  <c r="AH23" i="7"/>
  <c r="AI16" i="7"/>
  <c r="AH34" i="7"/>
  <c r="AH30" i="7"/>
  <c r="AJ18" i="7"/>
  <c r="AG33" i="7"/>
  <c r="AG25" i="7"/>
  <c r="AH14" i="7"/>
  <c r="AD12" i="7"/>
  <c r="AE12" i="7"/>
  <c r="AI41" i="7"/>
  <c r="AJ25" i="7"/>
  <c r="AI20" i="7"/>
  <c r="AI23" i="7"/>
  <c r="AI26" i="7"/>
  <c r="AH37" i="7"/>
  <c r="AG34" i="7"/>
  <c r="AG30" i="7"/>
  <c r="AG24" i="7"/>
  <c r="AJ41" i="7"/>
  <c r="AH41" i="7"/>
  <c r="AI38" i="7"/>
  <c r="AI33" i="7"/>
  <c r="AI25" i="7"/>
  <c r="AJ24" i="7"/>
  <c r="AJ20" i="7"/>
  <c r="AI18" i="7"/>
  <c r="AH24" i="7"/>
  <c r="AJ34" i="7"/>
  <c r="AI31" i="7"/>
  <c r="AJ30" i="7"/>
  <c r="AJ16" i="7"/>
  <c r="AG39" i="7"/>
  <c r="AI35" i="7"/>
  <c r="AH38" i="7"/>
  <c r="AH33" i="7"/>
  <c r="AH25" i="7"/>
  <c r="AH18" i="7"/>
  <c r="AG41" i="7"/>
  <c r="AH39" i="7"/>
  <c r="AJ35" i="7"/>
  <c r="AG35" i="7"/>
  <c r="AJ31" i="7"/>
  <c r="AG31" i="7"/>
  <c r="AI24" i="7"/>
  <c r="AJ23" i="7"/>
  <c r="AG23" i="7"/>
  <c r="AJ14" i="7"/>
  <c r="AG42" i="7"/>
  <c r="AI37" i="7"/>
  <c r="AH28" i="7"/>
  <c r="AI27" i="7"/>
  <c r="AJ26" i="7"/>
  <c r="AI14" i="7"/>
  <c r="AJ29" i="7"/>
  <c r="AH29" i="7"/>
  <c r="AI28" i="7"/>
  <c r="AJ27" i="7"/>
  <c r="AG27" i="7"/>
  <c r="AI29" i="7"/>
  <c r="AG26" i="7"/>
  <c r="AJ28" i="7"/>
  <c r="AG28" i="7"/>
  <c r="AH26" i="7"/>
  <c r="AG29" i="7"/>
  <c r="AH27" i="7"/>
  <c r="R12" i="7" l="1"/>
  <c r="H12" i="5"/>
  <c r="C12" i="5"/>
  <c r="H22" i="5"/>
  <c r="C22" i="5"/>
  <c r="S12" i="7"/>
  <c r="U12" i="7"/>
  <c r="Y12" i="7"/>
  <c r="W12" i="7"/>
  <c r="V12" i="7"/>
  <c r="T12" i="7"/>
  <c r="Q12" i="7"/>
  <c r="O12" i="7"/>
  <c r="P12" i="7"/>
  <c r="Z12" i="7"/>
  <c r="AA12" i="7"/>
  <c r="AB12" i="7"/>
  <c r="AC12" i="7"/>
  <c r="H12" i="7"/>
  <c r="H43" i="5" l="1"/>
  <c r="AI12" i="7"/>
  <c r="AH12" i="7"/>
  <c r="AJ12" i="7"/>
  <c r="L12" i="7"/>
  <c r="M12" i="7"/>
  <c r="J12" i="7"/>
  <c r="K12" i="7"/>
  <c r="I12" i="7"/>
  <c r="AD17" i="7" l="1"/>
  <c r="AE17" i="7"/>
  <c r="AB17" i="7"/>
  <c r="AC17" i="7"/>
  <c r="Z17" i="7"/>
  <c r="AA17" i="7"/>
  <c r="AG12" i="7"/>
  <c r="AG13" i="4"/>
  <c r="AK13" i="4" s="1"/>
  <c r="J14" i="7"/>
  <c r="AJ13" i="4"/>
  <c r="AN13" i="4" s="1"/>
  <c r="AJ42" i="4"/>
  <c r="AN42" i="4" s="1"/>
  <c r="AI13" i="4"/>
  <c r="AM13" i="4" s="1"/>
  <c r="AI42" i="4"/>
  <c r="AM42" i="4" s="1"/>
  <c r="AH13" i="4"/>
  <c r="AL13" i="4" s="1"/>
  <c r="R20" i="7"/>
  <c r="AH20" i="7" s="1"/>
  <c r="AH42" i="4"/>
  <c r="AL42" i="4" s="1"/>
  <c r="H20" i="7"/>
  <c r="AG20" i="7" s="1"/>
  <c r="X42" i="7" l="1"/>
  <c r="Y42" i="7"/>
  <c r="V42" i="7"/>
  <c r="U42" i="7"/>
  <c r="T42" i="7"/>
  <c r="W42" i="7"/>
  <c r="Z42" i="7"/>
  <c r="AA42" i="7"/>
  <c r="AB42" i="7"/>
  <c r="AD42" i="7"/>
  <c r="AE42" i="7"/>
  <c r="AC42" i="7"/>
  <c r="P42" i="7"/>
  <c r="N42" i="7"/>
  <c r="R42" i="7"/>
  <c r="S42" i="7"/>
  <c r="O42" i="7"/>
  <c r="Q42" i="7"/>
  <c r="AJ17" i="7"/>
  <c r="X17" i="7"/>
  <c r="Y17" i="7"/>
  <c r="V17" i="7"/>
  <c r="W17" i="7"/>
  <c r="T17" i="7"/>
  <c r="U17" i="7"/>
  <c r="R17" i="7"/>
  <c r="S17" i="7"/>
  <c r="P17" i="7"/>
  <c r="Q17" i="7"/>
  <c r="N17" i="7"/>
  <c r="O17" i="7"/>
  <c r="L17" i="7"/>
  <c r="M17" i="7"/>
  <c r="J17" i="7"/>
  <c r="K17" i="7"/>
  <c r="H17" i="7"/>
  <c r="I17" i="7"/>
  <c r="AD22" i="7"/>
  <c r="AE22" i="7"/>
  <c r="AB22" i="7"/>
  <c r="AC22" i="7"/>
  <c r="Z22" i="7"/>
  <c r="AA22" i="7"/>
  <c r="X22" i="7"/>
  <c r="Y22" i="7"/>
  <c r="V22" i="7"/>
  <c r="W22" i="7"/>
  <c r="T22" i="7"/>
  <c r="U22" i="7"/>
  <c r="R22" i="7"/>
  <c r="S22" i="7"/>
  <c r="P22" i="7"/>
  <c r="Q22" i="7"/>
  <c r="N22" i="7"/>
  <c r="O22" i="7"/>
  <c r="L22" i="7"/>
  <c r="M22" i="7"/>
  <c r="I22" i="7"/>
  <c r="K22" i="7"/>
  <c r="J22" i="7"/>
  <c r="H22" i="7"/>
  <c r="AD21" i="7"/>
  <c r="AE21" i="7"/>
  <c r="AB21" i="7"/>
  <c r="AC21" i="7"/>
  <c r="Z21" i="7"/>
  <c r="AA21" i="7"/>
  <c r="X21" i="7"/>
  <c r="Y21" i="7"/>
  <c r="V21" i="7"/>
  <c r="W21" i="7"/>
  <c r="T21" i="7"/>
  <c r="U21" i="7"/>
  <c r="R21" i="7"/>
  <c r="S21" i="7"/>
  <c r="P21" i="7"/>
  <c r="Q21" i="7"/>
  <c r="N21" i="7"/>
  <c r="O21" i="7"/>
  <c r="L21" i="7"/>
  <c r="M21" i="7"/>
  <c r="I21" i="7"/>
  <c r="K21" i="7"/>
  <c r="J21" i="7"/>
  <c r="H21" i="7"/>
  <c r="AD19" i="7"/>
  <c r="AE19" i="7"/>
  <c r="AB19" i="7"/>
  <c r="AC19" i="7"/>
  <c r="Z19" i="7"/>
  <c r="AA19" i="7"/>
  <c r="X19" i="7"/>
  <c r="Y19" i="7"/>
  <c r="V19" i="7"/>
  <c r="W19" i="7"/>
  <c r="T19" i="7"/>
  <c r="U19" i="7"/>
  <c r="R19" i="7"/>
  <c r="S19" i="7"/>
  <c r="P19" i="7"/>
  <c r="Q19" i="7"/>
  <c r="N19" i="7"/>
  <c r="O19" i="7"/>
  <c r="L19" i="7"/>
  <c r="M19" i="7"/>
  <c r="J19" i="7"/>
  <c r="K19" i="7"/>
  <c r="H19" i="7"/>
  <c r="I19" i="7"/>
  <c r="AD32" i="7"/>
  <c r="AE32" i="7"/>
  <c r="AB32" i="7"/>
  <c r="AC32" i="7"/>
  <c r="Z32" i="7"/>
  <c r="AA32" i="7"/>
  <c r="X32" i="7"/>
  <c r="Y32" i="7"/>
  <c r="V32" i="7"/>
  <c r="W32" i="7"/>
  <c r="T32" i="7"/>
  <c r="U32" i="7"/>
  <c r="R32" i="7"/>
  <c r="S32" i="7"/>
  <c r="P32" i="7"/>
  <c r="Q32" i="7"/>
  <c r="N32" i="7"/>
  <c r="O32" i="7"/>
  <c r="L32" i="7"/>
  <c r="M32" i="7"/>
  <c r="J32" i="7"/>
  <c r="K32" i="7"/>
  <c r="H32" i="7"/>
  <c r="I32" i="7"/>
  <c r="AD15" i="7"/>
  <c r="AE15" i="7"/>
  <c r="AB15" i="7"/>
  <c r="AC15" i="7"/>
  <c r="Z15" i="7"/>
  <c r="AA15" i="7"/>
  <c r="X15" i="7"/>
  <c r="Y15" i="7"/>
  <c r="V15" i="7"/>
  <c r="W15" i="7"/>
  <c r="U15" i="7"/>
  <c r="T15" i="7"/>
  <c r="R15" i="7"/>
  <c r="S15" i="7"/>
  <c r="P15" i="7"/>
  <c r="Q15" i="7"/>
  <c r="N15" i="7"/>
  <c r="O15" i="7"/>
  <c r="L15" i="7"/>
  <c r="M15" i="7"/>
  <c r="J15" i="7"/>
  <c r="K15" i="7"/>
  <c r="H15" i="7"/>
  <c r="I15" i="7"/>
  <c r="H18" i="7"/>
  <c r="I18" i="7"/>
  <c r="H16" i="7"/>
  <c r="I16" i="7"/>
  <c r="AD13" i="7"/>
  <c r="AE13" i="7"/>
  <c r="AB13" i="7"/>
  <c r="AC13" i="7"/>
  <c r="Z13" i="7"/>
  <c r="AA13" i="7"/>
  <c r="X13" i="7"/>
  <c r="Y13" i="7"/>
  <c r="V13" i="7"/>
  <c r="W13" i="7"/>
  <c r="T13" i="7"/>
  <c r="U13" i="7"/>
  <c r="R13" i="7"/>
  <c r="S13" i="7"/>
  <c r="P13" i="7"/>
  <c r="Q13" i="7"/>
  <c r="N13" i="7"/>
  <c r="O13" i="7"/>
  <c r="L13" i="7"/>
  <c r="M13" i="7"/>
  <c r="H14" i="7"/>
  <c r="I14" i="7"/>
  <c r="J13" i="7"/>
  <c r="K13" i="7"/>
  <c r="H13" i="7"/>
  <c r="I13" i="7"/>
  <c r="AG16" i="7" l="1"/>
  <c r="AJ42" i="7"/>
  <c r="AG14" i="7"/>
  <c r="AH42" i="7"/>
  <c r="AI42" i="7"/>
  <c r="AH40" i="7"/>
  <c r="AG18" i="7"/>
  <c r="AG22" i="7"/>
  <c r="AH21" i="7"/>
  <c r="AH17" i="7"/>
  <c r="AI19" i="7"/>
  <c r="AJ15" i="7"/>
  <c r="AJ40" i="7"/>
  <c r="AI40" i="7"/>
  <c r="AG40" i="7"/>
  <c r="AJ36" i="7"/>
  <c r="AI36" i="7"/>
  <c r="AH36" i="7"/>
  <c r="AG36" i="7"/>
  <c r="AI17" i="7"/>
  <c r="AG17" i="7"/>
  <c r="AJ22" i="7"/>
  <c r="AI22" i="7"/>
  <c r="AH22" i="7"/>
  <c r="AJ21" i="7"/>
  <c r="AI21" i="7"/>
  <c r="AG21" i="7"/>
  <c r="AJ19" i="7"/>
  <c r="AH19" i="7"/>
  <c r="AG19" i="7"/>
  <c r="AJ32" i="7"/>
  <c r="AI32" i="7"/>
  <c r="AH32" i="7"/>
  <c r="AG32" i="7"/>
  <c r="AI15" i="7"/>
  <c r="AH15" i="7"/>
  <c r="AG15" i="7"/>
  <c r="AH13" i="7"/>
  <c r="AI13" i="7"/>
  <c r="AJ13" i="7"/>
  <c r="AG13" i="7"/>
  <c r="G17" i="7"/>
  <c r="G18" i="7"/>
  <c r="G19" i="7"/>
  <c r="G21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20" i="7"/>
  <c r="G14" i="7"/>
  <c r="G15" i="7"/>
  <c r="G16" i="7"/>
  <c r="G13" i="7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<sst xmlns="http://schemas.openxmlformats.org/spreadsheetml/2006/main" count="436" uniqueCount="383">
  <si>
    <t>NOTE:</t>
  </si>
  <si>
    <t xml:space="preserve">This portion is for </t>
  </si>
  <si>
    <t xml:space="preserve">data extractor’s </t>
  </si>
  <si>
    <t>reference only</t>
  </si>
  <si>
    <t>CORRECTION FACTOR</t>
  </si>
  <si>
    <t>REPUBLIC OF THE PHILIPPINES</t>
  </si>
  <si>
    <t>Department of Science and Technology</t>
  </si>
  <si>
    <t>PHILIPPINE ATMOSPHERIC, GEOPHYSICAL  and ASTRONOMICAL SERVICES ADMINISTRATION</t>
  </si>
  <si>
    <t>STATION</t>
  </si>
  <si>
    <t>Date</t>
  </si>
  <si>
    <t xml:space="preserve"> I Q</t>
  </si>
  <si>
    <t xml:space="preserve"> I U</t>
  </si>
  <si>
    <t>24- HOUR TOTAL</t>
  </si>
  <si>
    <t>10 mins</t>
  </si>
  <si>
    <t>20 mins</t>
  </si>
  <si>
    <t>30 mins</t>
  </si>
  <si>
    <t>60 mins</t>
  </si>
  <si>
    <t>2 hrs</t>
  </si>
  <si>
    <t>3 hrs</t>
  </si>
  <si>
    <t>6 hrs</t>
  </si>
  <si>
    <t>24 hrs</t>
  </si>
  <si>
    <t>12 hrs</t>
  </si>
  <si>
    <t>MONTHLY MAXIMA</t>
  </si>
  <si>
    <t>INDICATOR</t>
  </si>
  <si>
    <t>CHART      TOTAL</t>
  </si>
  <si>
    <t>STANDARD GAUGE     TOTAL</t>
  </si>
  <si>
    <t>STANDARD GAUGE READINGS</t>
  </si>
  <si>
    <t>12 NN</t>
  </si>
  <si>
    <t>12 MN</t>
  </si>
  <si>
    <t>24-HR    TOTAL</t>
  </si>
  <si>
    <t xml:space="preserve">                                       Station No.</t>
  </si>
  <si>
    <t>Month   ____________________</t>
  </si>
  <si>
    <t>C O R R E C T E D   C L O C K   R A I N F A L L   A M O U N T S   F O R   O N E - H O U R   P E R I O D S  E N D I N G   A T:</t>
  </si>
  <si>
    <t>IQ</t>
  </si>
  <si>
    <t xml:space="preserve">   STATION</t>
  </si>
  <si>
    <t>Station No.</t>
  </si>
  <si>
    <t xml:space="preserve">   Month    __________________</t>
  </si>
  <si>
    <t>Month:   ____________________</t>
  </si>
  <si>
    <t>STATION:</t>
  </si>
  <si>
    <t>Correction Factor</t>
  </si>
  <si>
    <t>Sum</t>
  </si>
  <si>
    <t>9 am-2 am</t>
  </si>
  <si>
    <t>3 am-8 am</t>
  </si>
  <si>
    <t>9pm-2pm</t>
  </si>
  <si>
    <t>3 pm-8 pm</t>
  </si>
  <si>
    <t xml:space="preserve"> Standard Guage Readings/Sum</t>
  </si>
  <si>
    <t xml:space="preserve">     EXTRACTED BY</t>
  </si>
  <si>
    <t>VERIFIED BY</t>
  </si>
  <si>
    <t xml:space="preserve">DATE </t>
  </si>
  <si>
    <t xml:space="preserve">ENCODED BY </t>
  </si>
  <si>
    <t xml:space="preserve"> DATE </t>
  </si>
  <si>
    <t/>
  </si>
  <si>
    <t>Corr. =</t>
  </si>
  <si>
    <t>Time</t>
  </si>
  <si>
    <t>Reading (mm)</t>
  </si>
  <si>
    <t>0800</t>
  </si>
  <si>
    <t>0810</t>
  </si>
  <si>
    <t>0820</t>
  </si>
  <si>
    <t>0830</t>
  </si>
  <si>
    <t>0840</t>
  </si>
  <si>
    <t>0850</t>
  </si>
  <si>
    <t>0900</t>
  </si>
  <si>
    <t>0910</t>
  </si>
  <si>
    <t>0920</t>
  </si>
  <si>
    <t>0930</t>
  </si>
  <si>
    <t>0940</t>
  </si>
  <si>
    <t>0950</t>
  </si>
  <si>
    <t>1000</t>
  </si>
  <si>
    <t>1010</t>
  </si>
  <si>
    <t>1020</t>
  </si>
  <si>
    <t>1030</t>
  </si>
  <si>
    <t>1040</t>
  </si>
  <si>
    <t>1050</t>
  </si>
  <si>
    <t>1100</t>
  </si>
  <si>
    <t>1110</t>
  </si>
  <si>
    <t>1120</t>
  </si>
  <si>
    <t>1130</t>
  </si>
  <si>
    <t>1140</t>
  </si>
  <si>
    <t>1150</t>
  </si>
  <si>
    <t>1200</t>
  </si>
  <si>
    <t>1210</t>
  </si>
  <si>
    <t>1220</t>
  </si>
  <si>
    <t>1230</t>
  </si>
  <si>
    <t>1240</t>
  </si>
  <si>
    <t>1250</t>
  </si>
  <si>
    <t>1300</t>
  </si>
  <si>
    <t>1310</t>
  </si>
  <si>
    <t>1320</t>
  </si>
  <si>
    <t>1330</t>
  </si>
  <si>
    <t>1340</t>
  </si>
  <si>
    <t>1350</t>
  </si>
  <si>
    <t>1400</t>
  </si>
  <si>
    <t>1410</t>
  </si>
  <si>
    <t>1420</t>
  </si>
  <si>
    <t>1430</t>
  </si>
  <si>
    <t>1440</t>
  </si>
  <si>
    <t>1450</t>
  </si>
  <si>
    <t>1500</t>
  </si>
  <si>
    <t>1510</t>
  </si>
  <si>
    <t>1520</t>
  </si>
  <si>
    <t>1530</t>
  </si>
  <si>
    <t>1540</t>
  </si>
  <si>
    <t>1550</t>
  </si>
  <si>
    <t>1600</t>
  </si>
  <si>
    <t>1610</t>
  </si>
  <si>
    <t>1620</t>
  </si>
  <si>
    <t>1630</t>
  </si>
  <si>
    <t>1640</t>
  </si>
  <si>
    <t>1650</t>
  </si>
  <si>
    <t>1700</t>
  </si>
  <si>
    <t>1710</t>
  </si>
  <si>
    <t>1720</t>
  </si>
  <si>
    <t>1730</t>
  </si>
  <si>
    <t>1740</t>
  </si>
  <si>
    <t>1750</t>
  </si>
  <si>
    <t>1800</t>
  </si>
  <si>
    <t>1810</t>
  </si>
  <si>
    <t>1820</t>
  </si>
  <si>
    <t>1830</t>
  </si>
  <si>
    <t>1840</t>
  </si>
  <si>
    <t>1850</t>
  </si>
  <si>
    <t>1900</t>
  </si>
  <si>
    <t>1910</t>
  </si>
  <si>
    <t>1920</t>
  </si>
  <si>
    <t>1930</t>
  </si>
  <si>
    <t>1940</t>
  </si>
  <si>
    <t>1950</t>
  </si>
  <si>
    <t>2000</t>
  </si>
  <si>
    <t>2010</t>
  </si>
  <si>
    <t>2020</t>
  </si>
  <si>
    <t>2030</t>
  </si>
  <si>
    <t>2040</t>
  </si>
  <si>
    <t>2050</t>
  </si>
  <si>
    <t>2100</t>
  </si>
  <si>
    <t>2110</t>
  </si>
  <si>
    <t>2120</t>
  </si>
  <si>
    <t>2130</t>
  </si>
  <si>
    <t>2140</t>
  </si>
  <si>
    <t>2150</t>
  </si>
  <si>
    <t>2200</t>
  </si>
  <si>
    <t>2210</t>
  </si>
  <si>
    <t>2220</t>
  </si>
  <si>
    <t>2230</t>
  </si>
  <si>
    <t>2240</t>
  </si>
  <si>
    <t>2250</t>
  </si>
  <si>
    <t>2300</t>
  </si>
  <si>
    <t>2310</t>
  </si>
  <si>
    <t>2320</t>
  </si>
  <si>
    <t>2330</t>
  </si>
  <si>
    <t>2340</t>
  </si>
  <si>
    <t>2350</t>
  </si>
  <si>
    <t>2400</t>
  </si>
  <si>
    <t>2410</t>
  </si>
  <si>
    <t>2420</t>
  </si>
  <si>
    <t>2430</t>
  </si>
  <si>
    <t>2440</t>
  </si>
  <si>
    <t>2450</t>
  </si>
  <si>
    <t>0100</t>
  </si>
  <si>
    <t>0110</t>
  </si>
  <si>
    <t>0120</t>
  </si>
  <si>
    <t>0130</t>
  </si>
  <si>
    <t>0140</t>
  </si>
  <si>
    <t>0150</t>
  </si>
  <si>
    <t>0200</t>
  </si>
  <si>
    <t>0210</t>
  </si>
  <si>
    <t>0220</t>
  </si>
  <si>
    <t>0230</t>
  </si>
  <si>
    <t>0240</t>
  </si>
  <si>
    <t>0250</t>
  </si>
  <si>
    <t>0300</t>
  </si>
  <si>
    <t>0310</t>
  </si>
  <si>
    <t>0320</t>
  </si>
  <si>
    <t>0330</t>
  </si>
  <si>
    <t>0340</t>
  </si>
  <si>
    <t>0350</t>
  </si>
  <si>
    <t>0400</t>
  </si>
  <si>
    <t>0410</t>
  </si>
  <si>
    <t>0420</t>
  </si>
  <si>
    <t>0430</t>
  </si>
  <si>
    <t>0440</t>
  </si>
  <si>
    <t>0450</t>
  </si>
  <si>
    <t>0500</t>
  </si>
  <si>
    <t>0510</t>
  </si>
  <si>
    <t>0520</t>
  </si>
  <si>
    <t>0530</t>
  </si>
  <si>
    <t>0540</t>
  </si>
  <si>
    <t>0550</t>
  </si>
  <si>
    <t>0600</t>
  </si>
  <si>
    <t>0610</t>
  </si>
  <si>
    <t>0620</t>
  </si>
  <si>
    <t>0630</t>
  </si>
  <si>
    <t>0640</t>
  </si>
  <si>
    <t>0650</t>
  </si>
  <si>
    <t>0700</t>
  </si>
  <si>
    <t>0710</t>
  </si>
  <si>
    <t>0720</t>
  </si>
  <si>
    <t>0730</t>
  </si>
  <si>
    <t>0740</t>
  </si>
  <si>
    <t>0750</t>
  </si>
  <si>
    <t>fill/no fill</t>
  </si>
  <si>
    <t>neg values</t>
  </si>
  <si>
    <t>Adj. Rdng</t>
  </si>
  <si>
    <t>10min</t>
  </si>
  <si>
    <t>20min</t>
  </si>
  <si>
    <t>30min</t>
  </si>
  <si>
    <t>1hr</t>
  </si>
  <si>
    <t>2hr</t>
  </si>
  <si>
    <t>3hr</t>
  </si>
  <si>
    <t>6hr</t>
  </si>
  <si>
    <t>12hr</t>
  </si>
  <si>
    <t>24hr</t>
  </si>
  <si>
    <t>Max</t>
  </si>
  <si>
    <t>1-hrly</t>
  </si>
  <si>
    <t>CHART Total Hrly RR</t>
  </si>
  <si>
    <t>`</t>
  </si>
  <si>
    <t>Chart Date</t>
  </si>
  <si>
    <t>EXTRACTED BY</t>
  </si>
  <si>
    <t>Standard Rainguage Reading</t>
  </si>
  <si>
    <t>Total</t>
  </si>
  <si>
    <t>Validated</t>
  </si>
  <si>
    <t xml:space="preserve"> </t>
  </si>
  <si>
    <t>CATBALOGAN</t>
  </si>
  <si>
    <t>Standard Raingauge Reading</t>
  </si>
  <si>
    <t>2 PM</t>
  </si>
  <si>
    <t>8 PM</t>
  </si>
  <si>
    <t>2 AM</t>
  </si>
  <si>
    <t>8 AM</t>
  </si>
  <si>
    <t>Precipitation Total</t>
  </si>
  <si>
    <t>0 hr</t>
  </si>
  <si>
    <t>8 hr</t>
  </si>
  <si>
    <t>16 hr</t>
  </si>
  <si>
    <t>24 hr</t>
  </si>
  <si>
    <t>Station ID</t>
  </si>
  <si>
    <t>Station Name</t>
  </si>
  <si>
    <t>CALAYAN</t>
  </si>
  <si>
    <t>APARRI</t>
  </si>
  <si>
    <t>DAGUPAN</t>
  </si>
  <si>
    <t>DAET</t>
  </si>
  <si>
    <t>CORON</t>
  </si>
  <si>
    <t>MAASIN</t>
  </si>
  <si>
    <t>SURIGAO</t>
  </si>
  <si>
    <t>DIPOLOG</t>
  </si>
  <si>
    <t>COTABATO CITY</t>
  </si>
  <si>
    <t>ZAMBOANGA</t>
  </si>
  <si>
    <t>GENERAL SANTOS</t>
  </si>
  <si>
    <t>TANAY</t>
  </si>
  <si>
    <t>ALABAT</t>
  </si>
  <si>
    <t>ROMBLON</t>
  </si>
  <si>
    <t>ROXAS</t>
  </si>
  <si>
    <t>MASBATE</t>
  </si>
  <si>
    <t>BORONGAN</t>
  </si>
  <si>
    <t>DUMAGUETE</t>
  </si>
  <si>
    <t>PANGLAO</t>
  </si>
  <si>
    <t>MACTAN</t>
  </si>
  <si>
    <t>VIRAC SYNOP</t>
  </si>
  <si>
    <t>VIRAC RADAR</t>
  </si>
  <si>
    <t>CATARMAN</t>
  </si>
  <si>
    <t>GUIUAN</t>
  </si>
  <si>
    <t>ILOILO COMPLEX</t>
  </si>
  <si>
    <t>LAGUINDINGAN</t>
  </si>
  <si>
    <t>MALAYBALAY</t>
  </si>
  <si>
    <t>DAVAO CITY</t>
  </si>
  <si>
    <t>BASCO</t>
  </si>
  <si>
    <t>LAOAG</t>
  </si>
  <si>
    <t>BAGUIO RADAR</t>
  </si>
  <si>
    <t>PORT AREA</t>
  </si>
  <si>
    <t>SANGLEY</t>
  </si>
  <si>
    <t>NAIA</t>
  </si>
  <si>
    <t>SCIENCE GARDEN</t>
  </si>
  <si>
    <t>AMBULONG</t>
  </si>
  <si>
    <t>SAN JOSE</t>
  </si>
  <si>
    <t>JUBAN</t>
  </si>
  <si>
    <t>TACLOBAN</t>
  </si>
  <si>
    <t>PAG-ASA ISLAND</t>
  </si>
  <si>
    <t>PUERTO PRINCESA</t>
  </si>
  <si>
    <t>CUYO</t>
  </si>
  <si>
    <t>HINATUAN</t>
  </si>
  <si>
    <t>SINAIT</t>
  </si>
  <si>
    <t>TUGUEGARAO</t>
  </si>
  <si>
    <t>IBA</t>
  </si>
  <si>
    <t>CLARK</t>
  </si>
  <si>
    <t>BAGUIO SYNOP</t>
  </si>
  <si>
    <t>CLSU MUNOZ</t>
  </si>
  <si>
    <r>
      <t>CLSU MU</t>
    </r>
    <r>
      <rPr>
        <sz val="11"/>
        <color theme="1"/>
        <rFont val="Calibri"/>
        <family val="2"/>
      </rPr>
      <t>ÑOZ</t>
    </r>
  </si>
  <si>
    <t>BALER</t>
  </si>
  <si>
    <t>CASIGURAN</t>
  </si>
  <si>
    <t>SUBIC</t>
  </si>
  <si>
    <t>TAYABAS</t>
  </si>
  <si>
    <t>CALAPAN</t>
  </si>
  <si>
    <t>INFANTA</t>
  </si>
  <si>
    <t>BUTUAN</t>
  </si>
  <si>
    <t>ABUCAY</t>
  </si>
  <si>
    <t>ABORLAN</t>
  </si>
  <si>
    <t>MMSU</t>
  </si>
  <si>
    <t>BSU</t>
  </si>
  <si>
    <t>BUCAF</t>
  </si>
  <si>
    <t>CBSUA</t>
  </si>
  <si>
    <t>CAPSU</t>
  </si>
  <si>
    <t>TCA</t>
  </si>
  <si>
    <t>VSU</t>
  </si>
  <si>
    <t>ITBAYAT</t>
  </si>
  <si>
    <t>MULANAY</t>
  </si>
  <si>
    <t>CAVSU</t>
  </si>
  <si>
    <t>Station Code</t>
  </si>
  <si>
    <t>CLY</t>
  </si>
  <si>
    <t>SRG</t>
  </si>
  <si>
    <t>DPL</t>
  </si>
  <si>
    <t>CTB</t>
  </si>
  <si>
    <t>DMG</t>
  </si>
  <si>
    <t>CTR</t>
  </si>
  <si>
    <t>SIN</t>
  </si>
  <si>
    <t>SNJ</t>
  </si>
  <si>
    <t>APR</t>
  </si>
  <si>
    <t>ALB</t>
  </si>
  <si>
    <t>DAG</t>
  </si>
  <si>
    <t>DAE</t>
  </si>
  <si>
    <t>COR</t>
  </si>
  <si>
    <t>COT</t>
  </si>
  <si>
    <t>ZAM</t>
  </si>
  <si>
    <t>GEN</t>
  </si>
  <si>
    <t>TAN</t>
  </si>
  <si>
    <t>ROM</t>
  </si>
  <si>
    <t>ROX</t>
  </si>
  <si>
    <t>BOR</t>
  </si>
  <si>
    <t>MAC</t>
  </si>
  <si>
    <t>VIR</t>
  </si>
  <si>
    <t>GUI</t>
  </si>
  <si>
    <t>ILO</t>
  </si>
  <si>
    <t>LAG</t>
  </si>
  <si>
    <t>DAV</t>
  </si>
  <si>
    <t>LAO</t>
  </si>
  <si>
    <t>POR</t>
  </si>
  <si>
    <t>NAI</t>
  </si>
  <si>
    <t>SCI</t>
  </si>
  <si>
    <t>AMB</t>
  </si>
  <si>
    <t>LEG</t>
  </si>
  <si>
    <t>MSN</t>
  </si>
  <si>
    <t>MSB</t>
  </si>
  <si>
    <t>PNG</t>
  </si>
  <si>
    <t>BSC</t>
  </si>
  <si>
    <t>VIS</t>
  </si>
  <si>
    <t>MLB</t>
  </si>
  <si>
    <t>BGR</t>
  </si>
  <si>
    <t>SLY</t>
  </si>
  <si>
    <t>JBN</t>
  </si>
  <si>
    <t>TCL</t>
  </si>
  <si>
    <t>PAG</t>
  </si>
  <si>
    <t>PUE</t>
  </si>
  <si>
    <t>CUY</t>
  </si>
  <si>
    <t>HIN</t>
  </si>
  <si>
    <t>TUG</t>
  </si>
  <si>
    <t>SUB</t>
  </si>
  <si>
    <t>INF</t>
  </si>
  <si>
    <t>BUT</t>
  </si>
  <si>
    <t>ITB</t>
  </si>
  <si>
    <t>MUL</t>
  </si>
  <si>
    <t>CBS</t>
  </si>
  <si>
    <t>CAV</t>
  </si>
  <si>
    <t>CLK</t>
  </si>
  <si>
    <t>BGS</t>
  </si>
  <si>
    <t>MUN</t>
  </si>
  <si>
    <t>BLR</t>
  </si>
  <si>
    <t>CSG</t>
  </si>
  <si>
    <t>TYB</t>
  </si>
  <si>
    <t>CLP</t>
  </si>
  <si>
    <t>ABY</t>
  </si>
  <si>
    <t>ABR</t>
  </si>
  <si>
    <t>BAT</t>
  </si>
  <si>
    <t>BCF</t>
  </si>
  <si>
    <t>MAM</t>
  </si>
  <si>
    <t>Rainfall Chart Reading (mm)</t>
  </si>
  <si>
    <t>TIME</t>
  </si>
  <si>
    <t>Year</t>
  </si>
  <si>
    <t>Month</t>
  </si>
  <si>
    <t>Station</t>
  </si>
  <si>
    <t>NAME</t>
  </si>
  <si>
    <t>ID</t>
  </si>
  <si>
    <t xml:space="preserve">NOTE: </t>
  </si>
  <si>
    <t>COPY AND PASTE STANDARD RAINGAUGE READINGS FOR THE SPECIFIC MONTH AND YEAR</t>
  </si>
  <si>
    <t>HMDAS-14 Daily Corrected Hourly Rainfall Data</t>
  </si>
  <si>
    <t>LEGAZPI</t>
  </si>
  <si>
    <t>YYYY</t>
  </si>
  <si>
    <t>MMM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</si>
</sst>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\ AM/PM"/>
    <numFmt numFmtId="165" formatCode="0.0"/>
    <numFmt numFmtId="166" formatCode="00"/>
    <numFmt numFmtId="167" formatCode="0000"/>
  </numFmts>
  <fonts count="3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9C6500"/>
      <name val="Calibri"/>
      <family val="2"/>
      <scheme val="minor"/>
    </font>
    <font>
      <sz val="10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10"/>
      <color rgb="FFFF000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rgb="FF4D5156"/>
      <name val="Arial"/>
      <family val="2"/>
    </font>
    <font>
      <b/>
      <sz val="12"/>
      <name val="Arial"/>
      <family val="2"/>
    </font>
    <font>
      <b/>
      <sz val="14"/>
      <name val="Calibri"/>
      <family val="2"/>
      <scheme val="minor"/>
    </font>
    <font>
      <b/>
      <sz val="9"/>
      <name val="Arial"/>
      <family val="2"/>
    </font>
    <font>
      <b/>
      <sz val="9"/>
      <color theme="1"/>
      <name val="Arial"/>
      <family val="2"/>
    </font>
    <font>
      <b/>
      <sz val="10"/>
      <color theme="1"/>
      <name val="Arial"/>
      <family val="2"/>
    </font>
    <font>
      <b/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9C6500"/>
      <name val="Arial"/>
      <family val="2"/>
    </font>
    <font>
      <sz val="9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8"/>
      <color rgb="FFFF0000"/>
      <name val="Arial"/>
      <family val="2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2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2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theme="1"/>
      </right>
      <top/>
      <bottom/>
      <diagonal/>
    </border>
    <border>
      <left/>
      <right style="medium">
        <color theme="1"/>
      </right>
      <top style="medium">
        <color indexed="64"/>
      </top>
      <bottom/>
      <diagonal/>
    </border>
    <border>
      <left/>
      <right style="medium">
        <color theme="1"/>
      </right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thin">
        <color indexed="8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0" fillId="3" borderId="0" applyNumberFormat="0" applyBorder="0" applyAlignment="0" applyProtection="0"/>
    <xf numFmtId="0" fontId="12" fillId="0" borderId="0"/>
    <xf numFmtId="0" fontId="17" fillId="0" borderId="0"/>
    <xf numFmtId="0" fontId="12" fillId="0" borderId="0"/>
    <xf numFmtId="0" fontId="12" fillId="0" borderId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</cellStyleXfs>
  <cellXfs count="379">
    <xf numFmtId="0" fontId="0" fillId="0" borderId="0" xfId="0"/>
    <xf numFmtId="0" fontId="1" fillId="0" borderId="0" xfId="0" applyFont="1"/>
    <xf numFmtId="0" fontId="1" fillId="0" borderId="2" xfId="0" applyFont="1" applyBorder="1"/>
    <xf numFmtId="0" fontId="1" fillId="0" borderId="3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1" xfId="0" applyFont="1" applyBorder="1"/>
    <xf numFmtId="0" fontId="4" fillId="0" borderId="0" xfId="0" applyFont="1" applyAlignment="1">
      <alignment horizontal="center"/>
    </xf>
    <xf numFmtId="0" fontId="2" fillId="0" borderId="0" xfId="0" applyFont="1"/>
    <xf numFmtId="164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center" vertical="center" wrapText="1"/>
    </xf>
    <xf numFmtId="165" fontId="0" fillId="0" borderId="0" xfId="0" applyNumberFormat="1"/>
    <xf numFmtId="164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1" fillId="0" borderId="5" xfId="0" applyFont="1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2" fillId="0" borderId="5" xfId="0" applyFont="1" applyBorder="1" applyProtection="1"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6" xfId="0" applyBorder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6" xfId="0" applyFont="1" applyBorder="1" applyProtection="1">
      <protection locked="0"/>
    </xf>
    <xf numFmtId="0" fontId="5" fillId="0" borderId="0" xfId="0" applyFont="1" applyProtection="1">
      <protection locked="0"/>
    </xf>
    <xf numFmtId="0" fontId="5" fillId="0" borderId="35" xfId="0" applyFont="1" applyBorder="1" applyAlignment="1" applyProtection="1">
      <alignment horizontal="center"/>
      <protection locked="0"/>
    </xf>
    <xf numFmtId="0" fontId="5" fillId="0" borderId="32" xfId="0" applyFont="1" applyBorder="1" applyAlignment="1" applyProtection="1">
      <alignment horizontal="center"/>
      <protection locked="0"/>
    </xf>
    <xf numFmtId="0" fontId="5" fillId="0" borderId="37" xfId="0" applyFont="1" applyBorder="1" applyAlignment="1" applyProtection="1">
      <alignment horizontal="center"/>
      <protection locked="0"/>
    </xf>
    <xf numFmtId="0" fontId="2" fillId="5" borderId="2" xfId="0" applyFont="1" applyFill="1" applyBorder="1" applyAlignment="1">
      <alignment horizontal="center" vertical="center" wrapText="1"/>
    </xf>
    <xf numFmtId="164" fontId="3" fillId="5" borderId="29" xfId="0" applyNumberFormat="1" applyFont="1" applyFill="1" applyBorder="1" applyAlignment="1">
      <alignment horizontal="center" vertical="center"/>
    </xf>
    <xf numFmtId="164" fontId="3" fillId="5" borderId="19" xfId="0" applyNumberFormat="1" applyFont="1" applyFill="1" applyBorder="1" applyAlignment="1">
      <alignment horizontal="center" vertical="center"/>
    </xf>
    <xf numFmtId="164" fontId="3" fillId="5" borderId="36" xfId="0" applyNumberFormat="1" applyFont="1" applyFill="1" applyBorder="1" applyAlignment="1">
      <alignment horizontal="center" vertical="center"/>
    </xf>
    <xf numFmtId="49" fontId="2" fillId="5" borderId="39" xfId="0" applyNumberFormat="1" applyFont="1" applyFill="1" applyBorder="1" applyAlignment="1">
      <alignment horizontal="center" vertical="center"/>
    </xf>
    <xf numFmtId="49" fontId="2" fillId="5" borderId="40" xfId="0" applyNumberFormat="1" applyFont="1" applyFill="1" applyBorder="1" applyAlignment="1">
      <alignment horizontal="center" vertical="center"/>
    </xf>
    <xf numFmtId="49" fontId="2" fillId="5" borderId="41" xfId="0" applyNumberFormat="1" applyFont="1" applyFill="1" applyBorder="1" applyAlignment="1">
      <alignment horizontal="center" vertical="center"/>
    </xf>
    <xf numFmtId="0" fontId="3" fillId="6" borderId="35" xfId="0" applyFont="1" applyFill="1" applyBorder="1" applyAlignment="1">
      <alignment horizontal="center"/>
    </xf>
    <xf numFmtId="0" fontId="3" fillId="6" borderId="32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2" fontId="0" fillId="0" borderId="0" xfId="0" applyNumberFormat="1"/>
    <xf numFmtId="2" fontId="6" fillId="0" borderId="0" xfId="0" applyNumberFormat="1" applyFont="1"/>
    <xf numFmtId="0" fontId="0" fillId="0" borderId="0" xfId="0" applyProtection="1">
      <protection hidden="1"/>
    </xf>
    <xf numFmtId="0" fontId="1" fillId="0" borderId="2" xfId="0" applyFont="1" applyBorder="1" applyProtection="1">
      <protection hidden="1"/>
    </xf>
    <xf numFmtId="0" fontId="1" fillId="0" borderId="3" xfId="0" applyFont="1" applyBorder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0" borderId="5" xfId="0" applyFont="1" applyBorder="1" applyProtection="1">
      <protection hidden="1"/>
    </xf>
    <xf numFmtId="0" fontId="1" fillId="0" borderId="0" xfId="0" applyFont="1" applyProtection="1">
      <protection hidden="1"/>
    </xf>
    <xf numFmtId="0" fontId="2" fillId="0" borderId="5" xfId="0" applyFont="1" applyBorder="1" applyProtection="1">
      <protection hidden="1"/>
    </xf>
    <xf numFmtId="0" fontId="2" fillId="0" borderId="0" xfId="0" applyFont="1" applyProtection="1">
      <protection hidden="1"/>
    </xf>
    <xf numFmtId="0" fontId="2" fillId="0" borderId="0" xfId="0" applyFont="1" applyAlignment="1" applyProtection="1">
      <alignment horizontal="center"/>
      <protection hidden="1"/>
    </xf>
    <xf numFmtId="0" fontId="0" fillId="0" borderId="6" xfId="0" applyBorder="1" applyProtection="1">
      <protection hidden="1"/>
    </xf>
    <xf numFmtId="0" fontId="1" fillId="0" borderId="6" xfId="0" applyFont="1" applyBorder="1" applyProtection="1">
      <protection hidden="1"/>
    </xf>
    <xf numFmtId="0" fontId="5" fillId="0" borderId="0" xfId="0" applyFont="1" applyProtection="1">
      <protection hidden="1"/>
    </xf>
    <xf numFmtId="0" fontId="1" fillId="0" borderId="7" xfId="0" applyFont="1" applyBorder="1" applyProtection="1">
      <protection hidden="1"/>
    </xf>
    <xf numFmtId="0" fontId="1" fillId="0" borderId="8" xfId="0" applyFont="1" applyBorder="1" applyProtection="1">
      <protection hidden="1"/>
    </xf>
    <xf numFmtId="0" fontId="1" fillId="0" borderId="1" xfId="0" applyFont="1" applyBorder="1" applyProtection="1">
      <protection hidden="1"/>
    </xf>
    <xf numFmtId="0" fontId="1" fillId="0" borderId="0" xfId="0" applyFont="1" applyAlignment="1" applyProtection="1">
      <alignment horizontal="center" vertical="center" wrapText="1"/>
      <protection hidden="1"/>
    </xf>
    <xf numFmtId="0" fontId="2" fillId="5" borderId="29" xfId="0" applyFont="1" applyFill="1" applyBorder="1" applyAlignment="1" applyProtection="1">
      <alignment horizontal="center" vertical="center" wrapText="1"/>
      <protection hidden="1"/>
    </xf>
    <xf numFmtId="164" fontId="3" fillId="5" borderId="19" xfId="0" applyNumberFormat="1" applyFont="1" applyFill="1" applyBorder="1" applyAlignment="1" applyProtection="1">
      <alignment horizontal="center" vertical="center"/>
      <protection hidden="1"/>
    </xf>
    <xf numFmtId="164" fontId="3" fillId="5" borderId="42" xfId="0" applyNumberFormat="1" applyFont="1" applyFill="1" applyBorder="1" applyAlignment="1" applyProtection="1">
      <alignment vertical="center"/>
      <protection hidden="1"/>
    </xf>
    <xf numFmtId="164" fontId="3" fillId="5" borderId="2" xfId="0" applyNumberFormat="1" applyFont="1" applyFill="1" applyBorder="1" applyAlignment="1" applyProtection="1">
      <alignment vertical="center" wrapText="1"/>
      <protection hidden="1"/>
    </xf>
    <xf numFmtId="164" fontId="3" fillId="5" borderId="29" xfId="0" applyNumberFormat="1" applyFont="1" applyFill="1" applyBorder="1" applyAlignment="1" applyProtection="1">
      <alignment horizontal="center" vertical="center"/>
      <protection hidden="1"/>
    </xf>
    <xf numFmtId="0" fontId="2" fillId="5" borderId="19" xfId="0" applyFont="1" applyFill="1" applyBorder="1" applyAlignment="1" applyProtection="1">
      <alignment horizontal="center" vertical="center" wrapText="1"/>
      <protection hidden="1"/>
    </xf>
    <xf numFmtId="164" fontId="3" fillId="5" borderId="36" xfId="0" applyNumberFormat="1" applyFont="1" applyFill="1" applyBorder="1" applyAlignment="1" applyProtection="1">
      <alignment horizontal="center" vertical="center"/>
      <protection hidden="1"/>
    </xf>
    <xf numFmtId="164" fontId="3" fillId="5" borderId="49" xfId="0" applyNumberFormat="1" applyFont="1" applyFill="1" applyBorder="1" applyAlignment="1" applyProtection="1">
      <alignment horizontal="center" vertical="center"/>
      <protection hidden="1"/>
    </xf>
    <xf numFmtId="164" fontId="3" fillId="0" borderId="0" xfId="0" applyNumberFormat="1" applyFont="1" applyAlignment="1" applyProtection="1">
      <alignment horizontal="center" vertical="center"/>
      <protection hidden="1"/>
    </xf>
    <xf numFmtId="164" fontId="3" fillId="5" borderId="26" xfId="0" applyNumberFormat="1" applyFont="1" applyFill="1" applyBorder="1" applyAlignment="1" applyProtection="1">
      <alignment horizontal="center" vertical="center"/>
      <protection hidden="1"/>
    </xf>
    <xf numFmtId="164" fontId="3" fillId="5" borderId="27" xfId="0" applyNumberFormat="1" applyFont="1" applyFill="1" applyBorder="1" applyAlignment="1" applyProtection="1">
      <alignment horizontal="center" vertical="center"/>
      <protection hidden="1"/>
    </xf>
    <xf numFmtId="164" fontId="3" fillId="5" borderId="28" xfId="0" applyNumberFormat="1" applyFont="1" applyFill="1" applyBorder="1" applyAlignment="1" applyProtection="1">
      <alignment horizontal="center" vertical="center"/>
      <protection hidden="1"/>
    </xf>
    <xf numFmtId="0" fontId="3" fillId="6" borderId="35" xfId="0" applyFont="1" applyFill="1" applyBorder="1" applyAlignment="1" applyProtection="1">
      <alignment horizontal="center"/>
      <protection hidden="1"/>
    </xf>
    <xf numFmtId="0" fontId="4" fillId="0" borderId="35" xfId="0" applyFont="1" applyBorder="1" applyAlignment="1" applyProtection="1">
      <alignment horizontal="center"/>
      <protection hidden="1"/>
    </xf>
    <xf numFmtId="0" fontId="3" fillId="6" borderId="32" xfId="0" applyFont="1" applyFill="1" applyBorder="1" applyAlignment="1" applyProtection="1">
      <alignment horizontal="center"/>
      <protection hidden="1"/>
    </xf>
    <xf numFmtId="0" fontId="4" fillId="0" borderId="32" xfId="0" applyFont="1" applyBorder="1" applyAlignment="1" applyProtection="1">
      <alignment horizontal="center"/>
      <protection hidden="1"/>
    </xf>
    <xf numFmtId="0" fontId="3" fillId="6" borderId="7" xfId="0" applyFont="1" applyFill="1" applyBorder="1" applyAlignment="1" applyProtection="1">
      <alignment horizontal="center"/>
      <protection hidden="1"/>
    </xf>
    <xf numFmtId="0" fontId="4" fillId="0" borderId="37" xfId="0" applyFont="1" applyBorder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1" fillId="0" borderId="0" xfId="0" applyFont="1" applyAlignment="1">
      <alignment horizontal="right"/>
    </xf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2" fillId="0" borderId="5" xfId="0" applyFont="1" applyBorder="1"/>
    <xf numFmtId="0" fontId="3" fillId="5" borderId="40" xfId="0" applyFont="1" applyFill="1" applyBorder="1" applyAlignment="1">
      <alignment horizontal="center" vertical="center"/>
    </xf>
    <xf numFmtId="0" fontId="3" fillId="5" borderId="41" xfId="0" applyFont="1" applyFill="1" applyBorder="1" applyAlignment="1">
      <alignment horizontal="center" vertical="center"/>
    </xf>
    <xf numFmtId="0" fontId="3" fillId="5" borderId="31" xfId="0" applyFont="1" applyFill="1" applyBorder="1" applyAlignment="1">
      <alignment horizontal="center" vertical="center"/>
    </xf>
    <xf numFmtId="0" fontId="3" fillId="5" borderId="33" xfId="0" applyFont="1" applyFill="1" applyBorder="1" applyAlignment="1">
      <alignment horizontal="center" vertical="center"/>
    </xf>
    <xf numFmtId="0" fontId="0" fillId="0" borderId="58" xfId="0" applyBorder="1"/>
    <xf numFmtId="0" fontId="0" fillId="0" borderId="59" xfId="0" applyBorder="1"/>
    <xf numFmtId="0" fontId="3" fillId="5" borderId="25" xfId="0" applyFont="1" applyFill="1" applyBorder="1" applyAlignment="1">
      <alignment horizontal="center" vertical="center"/>
    </xf>
    <xf numFmtId="0" fontId="2" fillId="0" borderId="13" xfId="0" applyFont="1" applyBorder="1" applyAlignment="1" applyProtection="1">
      <alignment horizontal="center"/>
      <protection locked="0"/>
    </xf>
    <xf numFmtId="0" fontId="1" fillId="0" borderId="13" xfId="0" applyFont="1" applyBorder="1" applyAlignment="1" applyProtection="1">
      <alignment horizontal="center"/>
      <protection locked="0"/>
    </xf>
    <xf numFmtId="0" fontId="12" fillId="0" borderId="0" xfId="2" applyProtection="1">
      <protection locked="0"/>
    </xf>
    <xf numFmtId="0" fontId="14" fillId="0" borderId="0" xfId="2" applyFont="1" applyProtection="1">
      <protection locked="0"/>
    </xf>
    <xf numFmtId="0" fontId="13" fillId="0" borderId="0" xfId="2" applyFont="1" applyAlignment="1" applyProtection="1">
      <alignment horizontal="center"/>
      <protection locked="0"/>
    </xf>
    <xf numFmtId="164" fontId="3" fillId="0" borderId="0" xfId="2" applyNumberFormat="1" applyFont="1" applyAlignment="1">
      <alignment horizontal="center" vertical="center"/>
    </xf>
    <xf numFmtId="2" fontId="15" fillId="0" borderId="0" xfId="2" applyNumberFormat="1" applyFont="1" applyProtection="1">
      <protection hidden="1"/>
    </xf>
    <xf numFmtId="2" fontId="15" fillId="0" borderId="0" xfId="2" applyNumberFormat="1" applyFont="1" applyAlignment="1" applyProtection="1">
      <alignment horizontal="right"/>
      <protection hidden="1"/>
    </xf>
    <xf numFmtId="2" fontId="13" fillId="0" borderId="0" xfId="2" applyNumberFormat="1" applyFont="1" applyAlignment="1" applyProtection="1">
      <alignment horizontal="right"/>
      <protection hidden="1"/>
    </xf>
    <xf numFmtId="0" fontId="15" fillId="0" borderId="0" xfId="2" applyFont="1" applyProtection="1">
      <protection hidden="1"/>
    </xf>
    <xf numFmtId="0" fontId="18" fillId="0" borderId="0" xfId="0" applyFont="1"/>
    <xf numFmtId="164" fontId="3" fillId="0" borderId="0" xfId="2" applyNumberFormat="1" applyFont="1" applyAlignment="1" applyProtection="1">
      <alignment horizontal="center" vertical="center" wrapText="1"/>
      <protection hidden="1"/>
    </xf>
    <xf numFmtId="2" fontId="5" fillId="0" borderId="0" xfId="2" applyNumberFormat="1" applyFont="1" applyAlignment="1" applyProtection="1">
      <alignment horizontal="center"/>
      <protection hidden="1"/>
    </xf>
    <xf numFmtId="164" fontId="3" fillId="5" borderId="9" xfId="2" applyNumberFormat="1" applyFont="1" applyFill="1" applyBorder="1" applyAlignment="1" applyProtection="1">
      <alignment horizontal="center" vertical="center" wrapText="1"/>
      <protection hidden="1"/>
    </xf>
    <xf numFmtId="2" fontId="0" fillId="0" borderId="0" xfId="0" applyNumberFormat="1" applyProtection="1">
      <protection locked="0"/>
    </xf>
    <xf numFmtId="164" fontId="3" fillId="5" borderId="26" xfId="0" applyNumberFormat="1" applyFont="1" applyFill="1" applyBorder="1" applyAlignment="1">
      <alignment horizontal="center" vertical="center"/>
    </xf>
    <xf numFmtId="164" fontId="3" fillId="5" borderId="27" xfId="0" applyNumberFormat="1" applyFont="1" applyFill="1" applyBorder="1" applyAlignment="1">
      <alignment horizontal="center" vertical="center"/>
    </xf>
    <xf numFmtId="2" fontId="9" fillId="0" borderId="51" xfId="0" applyNumberFormat="1" applyFont="1" applyBorder="1" applyAlignment="1" applyProtection="1">
      <alignment horizontal="center"/>
      <protection hidden="1"/>
    </xf>
    <xf numFmtId="164" fontId="3" fillId="5" borderId="58" xfId="0" applyNumberFormat="1" applyFont="1" applyFill="1" applyBorder="1" applyAlignment="1">
      <alignment vertical="center" wrapText="1"/>
    </xf>
    <xf numFmtId="2" fontId="9" fillId="0" borderId="55" xfId="0" applyNumberFormat="1" applyFont="1" applyBorder="1" applyAlignment="1" applyProtection="1">
      <alignment horizontal="center"/>
      <protection hidden="1"/>
    </xf>
    <xf numFmtId="0" fontId="2" fillId="5" borderId="27" xfId="0" applyFont="1" applyFill="1" applyBorder="1" applyAlignment="1">
      <alignment horizontal="center" vertical="center" wrapText="1"/>
    </xf>
    <xf numFmtId="164" fontId="3" fillId="5" borderId="62" xfId="0" applyNumberFormat="1" applyFont="1" applyFill="1" applyBorder="1" applyAlignment="1">
      <alignment horizontal="center" vertical="center"/>
    </xf>
    <xf numFmtId="164" fontId="3" fillId="5" borderId="28" xfId="0" applyNumberFormat="1" applyFont="1" applyFill="1" applyBorder="1" applyAlignment="1">
      <alignment horizontal="center" vertical="center"/>
    </xf>
    <xf numFmtId="0" fontId="11" fillId="0" borderId="0" xfId="2" applyFont="1" applyAlignment="1" applyProtection="1">
      <alignment horizontal="center"/>
      <protection locked="0"/>
    </xf>
    <xf numFmtId="0" fontId="16" fillId="0" borderId="0" xfId="2" applyFont="1" applyAlignment="1" applyProtection="1">
      <alignment horizontal="center"/>
      <protection locked="0"/>
    </xf>
    <xf numFmtId="0" fontId="20" fillId="0" borderId="0" xfId="2" applyFont="1" applyAlignment="1" applyProtection="1">
      <alignment horizontal="center" vertical="center"/>
      <protection locked="0"/>
    </xf>
    <xf numFmtId="0" fontId="16" fillId="0" borderId="0" xfId="2" applyFont="1" applyAlignment="1" applyProtection="1">
      <alignment horizontal="center" vertical="center"/>
      <protection locked="0"/>
    </xf>
    <xf numFmtId="164" fontId="22" fillId="5" borderId="9" xfId="2" applyNumberFormat="1" applyFont="1" applyFill="1" applyBorder="1" applyAlignment="1">
      <alignment horizontal="center" vertical="center"/>
    </xf>
    <xf numFmtId="0" fontId="23" fillId="5" borderId="9" xfId="2" applyFont="1" applyFill="1" applyBorder="1" applyAlignment="1">
      <alignment horizontal="center" vertical="center" wrapText="1"/>
    </xf>
    <xf numFmtId="165" fontId="12" fillId="0" borderId="0" xfId="2" applyNumberFormat="1" applyAlignment="1" applyProtection="1">
      <alignment horizontal="center"/>
      <protection locked="0"/>
    </xf>
    <xf numFmtId="0" fontId="12" fillId="0" borderId="0" xfId="2"/>
    <xf numFmtId="2" fontId="15" fillId="0" borderId="0" xfId="2" applyNumberFormat="1" applyFont="1" applyProtection="1">
      <protection locked="0" hidden="1"/>
    </xf>
    <xf numFmtId="0" fontId="2" fillId="0" borderId="15" xfId="0" applyFont="1" applyBorder="1" applyAlignment="1">
      <alignment horizontal="center"/>
    </xf>
    <xf numFmtId="164" fontId="3" fillId="5" borderId="36" xfId="0" applyNumberFormat="1" applyFont="1" applyFill="1" applyBorder="1" applyAlignment="1">
      <alignment vertical="center"/>
    </xf>
    <xf numFmtId="2" fontId="9" fillId="0" borderId="57" xfId="0" applyNumberFormat="1" applyFont="1" applyBorder="1" applyAlignment="1" applyProtection="1">
      <alignment horizontal="center"/>
      <protection hidden="1"/>
    </xf>
    <xf numFmtId="165" fontId="9" fillId="0" borderId="17" xfId="0" applyNumberFormat="1" applyFont="1" applyBorder="1" applyAlignment="1" applyProtection="1">
      <alignment horizontal="center"/>
      <protection hidden="1"/>
    </xf>
    <xf numFmtId="165" fontId="9" fillId="0" borderId="18" xfId="0" applyNumberFormat="1" applyFont="1" applyBorder="1" applyAlignment="1" applyProtection="1">
      <alignment horizontal="center"/>
      <protection hidden="1"/>
    </xf>
    <xf numFmtId="165" fontId="9" fillId="0" borderId="20" xfId="0" applyNumberFormat="1" applyFont="1" applyBorder="1" applyAlignment="1" applyProtection="1">
      <alignment horizontal="center"/>
      <protection hidden="1"/>
    </xf>
    <xf numFmtId="165" fontId="9" fillId="0" borderId="21" xfId="0" applyNumberFormat="1" applyFont="1" applyBorder="1" applyAlignment="1" applyProtection="1">
      <alignment horizontal="center"/>
      <protection hidden="1"/>
    </xf>
    <xf numFmtId="165" fontId="9" fillId="0" borderId="9" xfId="0" applyNumberFormat="1" applyFont="1" applyBorder="1" applyAlignment="1" applyProtection="1">
      <alignment horizontal="center"/>
      <protection hidden="1"/>
    </xf>
    <xf numFmtId="165" fontId="9" fillId="0" borderId="22" xfId="0" applyNumberFormat="1" applyFont="1" applyBorder="1" applyAlignment="1" applyProtection="1">
      <alignment horizontal="center"/>
      <protection hidden="1"/>
    </xf>
    <xf numFmtId="165" fontId="9" fillId="0" borderId="23" xfId="0" applyNumberFormat="1" applyFont="1" applyBorder="1" applyAlignment="1" applyProtection="1">
      <alignment horizontal="center"/>
      <protection hidden="1"/>
    </xf>
    <xf numFmtId="165" fontId="9" fillId="0" borderId="24" xfId="0" applyNumberFormat="1" applyFont="1" applyBorder="1" applyAlignment="1" applyProtection="1">
      <alignment horizontal="center"/>
      <protection hidden="1"/>
    </xf>
    <xf numFmtId="165" fontId="9" fillId="0" borderId="25" xfId="0" applyNumberFormat="1" applyFont="1" applyBorder="1" applyAlignment="1" applyProtection="1">
      <alignment horizontal="center"/>
      <protection hidden="1"/>
    </xf>
    <xf numFmtId="165" fontId="23" fillId="6" borderId="17" xfId="0" applyNumberFormat="1" applyFont="1" applyFill="1" applyBorder="1" applyAlignment="1" applyProtection="1">
      <alignment horizontal="center"/>
      <protection hidden="1"/>
    </xf>
    <xf numFmtId="165" fontId="23" fillId="6" borderId="18" xfId="0" applyNumberFormat="1" applyFont="1" applyFill="1" applyBorder="1" applyAlignment="1" applyProtection="1">
      <alignment horizontal="center"/>
      <protection hidden="1"/>
    </xf>
    <xf numFmtId="165" fontId="23" fillId="6" borderId="38" xfId="0" applyNumberFormat="1" applyFont="1" applyFill="1" applyBorder="1" applyAlignment="1" applyProtection="1">
      <alignment horizontal="center"/>
      <protection hidden="1"/>
    </xf>
    <xf numFmtId="2" fontId="25" fillId="4" borderId="17" xfId="0" applyNumberFormat="1" applyFont="1" applyFill="1" applyBorder="1" applyAlignment="1" applyProtection="1">
      <alignment horizontal="center"/>
      <protection hidden="1"/>
    </xf>
    <xf numFmtId="2" fontId="25" fillId="4" borderId="18" xfId="0" applyNumberFormat="1" applyFont="1" applyFill="1" applyBorder="1" applyAlignment="1" applyProtection="1">
      <alignment horizontal="center"/>
      <protection hidden="1"/>
    </xf>
    <xf numFmtId="2" fontId="25" fillId="4" borderId="20" xfId="0" applyNumberFormat="1" applyFont="1" applyFill="1" applyBorder="1" applyAlignment="1" applyProtection="1">
      <alignment horizontal="center"/>
      <protection hidden="1"/>
    </xf>
    <xf numFmtId="165" fontId="23" fillId="6" borderId="21" xfId="0" applyNumberFormat="1" applyFont="1" applyFill="1" applyBorder="1" applyAlignment="1" applyProtection="1">
      <alignment horizontal="center"/>
      <protection hidden="1"/>
    </xf>
    <xf numFmtId="165" fontId="23" fillId="6" borderId="9" xfId="0" applyNumberFormat="1" applyFont="1" applyFill="1" applyBorder="1" applyAlignment="1" applyProtection="1">
      <alignment horizontal="center"/>
      <protection hidden="1"/>
    </xf>
    <xf numFmtId="165" fontId="23" fillId="6" borderId="15" xfId="0" applyNumberFormat="1" applyFont="1" applyFill="1" applyBorder="1" applyAlignment="1" applyProtection="1">
      <alignment horizontal="center"/>
      <protection hidden="1"/>
    </xf>
    <xf numFmtId="2" fontId="25" fillId="4" borderId="21" xfId="0" applyNumberFormat="1" applyFont="1" applyFill="1" applyBorder="1" applyAlignment="1" applyProtection="1">
      <alignment horizontal="center"/>
      <protection hidden="1"/>
    </xf>
    <xf numFmtId="2" fontId="25" fillId="4" borderId="9" xfId="0" applyNumberFormat="1" applyFont="1" applyFill="1" applyBorder="1" applyAlignment="1" applyProtection="1">
      <alignment horizontal="center"/>
      <protection hidden="1"/>
    </xf>
    <xf numFmtId="2" fontId="25" fillId="4" borderId="22" xfId="0" applyNumberFormat="1" applyFont="1" applyFill="1" applyBorder="1" applyAlignment="1" applyProtection="1">
      <alignment horizontal="center"/>
      <protection hidden="1"/>
    </xf>
    <xf numFmtId="165" fontId="23" fillId="6" borderId="23" xfId="0" applyNumberFormat="1" applyFont="1" applyFill="1" applyBorder="1" applyAlignment="1" applyProtection="1">
      <alignment horizontal="center"/>
      <protection hidden="1"/>
    </xf>
    <xf numFmtId="165" fontId="23" fillId="6" borderId="24" xfId="0" applyNumberFormat="1" applyFont="1" applyFill="1" applyBorder="1" applyAlignment="1" applyProtection="1">
      <alignment horizontal="center"/>
      <protection hidden="1"/>
    </xf>
    <xf numFmtId="165" fontId="23" fillId="6" borderId="31" xfId="0" applyNumberFormat="1" applyFont="1" applyFill="1" applyBorder="1" applyAlignment="1" applyProtection="1">
      <alignment horizontal="center"/>
      <protection hidden="1"/>
    </xf>
    <xf numFmtId="2" fontId="25" fillId="4" borderId="23" xfId="0" applyNumberFormat="1" applyFont="1" applyFill="1" applyBorder="1" applyAlignment="1" applyProtection="1">
      <alignment horizontal="center"/>
      <protection hidden="1"/>
    </xf>
    <xf numFmtId="2" fontId="25" fillId="4" borderId="24" xfId="0" applyNumberFormat="1" applyFont="1" applyFill="1" applyBorder="1" applyAlignment="1" applyProtection="1">
      <alignment horizontal="center"/>
      <protection hidden="1"/>
    </xf>
    <xf numFmtId="2" fontId="25" fillId="4" borderId="25" xfId="0" applyNumberFormat="1" applyFont="1" applyFill="1" applyBorder="1" applyAlignment="1" applyProtection="1">
      <alignment horizontal="center"/>
      <protection hidden="1"/>
    </xf>
    <xf numFmtId="165" fontId="9" fillId="0" borderId="0" xfId="0" applyNumberFormat="1" applyFont="1" applyProtection="1">
      <protection hidden="1"/>
    </xf>
    <xf numFmtId="2" fontId="26" fillId="4" borderId="17" xfId="1" applyNumberFormat="1" applyFont="1" applyFill="1" applyBorder="1" applyAlignment="1" applyProtection="1">
      <alignment horizontal="center"/>
      <protection hidden="1"/>
    </xf>
    <xf numFmtId="2" fontId="26" fillId="4" borderId="18" xfId="1" applyNumberFormat="1" applyFont="1" applyFill="1" applyBorder="1" applyAlignment="1" applyProtection="1">
      <alignment horizontal="center"/>
      <protection hidden="1"/>
    </xf>
    <xf numFmtId="2" fontId="26" fillId="4" borderId="20" xfId="1" applyNumberFormat="1" applyFont="1" applyFill="1" applyBorder="1" applyAlignment="1" applyProtection="1">
      <alignment horizontal="center"/>
      <protection hidden="1"/>
    </xf>
    <xf numFmtId="2" fontId="26" fillId="4" borderId="47" xfId="1" applyNumberFormat="1" applyFont="1" applyFill="1" applyBorder="1" applyAlignment="1" applyProtection="1">
      <alignment horizontal="center"/>
      <protection hidden="1"/>
    </xf>
    <xf numFmtId="2" fontId="26" fillId="4" borderId="10" xfId="1" applyNumberFormat="1" applyFont="1" applyFill="1" applyBorder="1" applyAlignment="1" applyProtection="1">
      <alignment horizontal="center"/>
      <protection hidden="1"/>
    </xf>
    <xf numFmtId="2" fontId="26" fillId="4" borderId="48" xfId="1" applyNumberFormat="1" applyFont="1" applyFill="1" applyBorder="1" applyAlignment="1" applyProtection="1">
      <alignment horizontal="center"/>
      <protection hidden="1"/>
    </xf>
    <xf numFmtId="2" fontId="26" fillId="4" borderId="39" xfId="1" applyNumberFormat="1" applyFont="1" applyFill="1" applyBorder="1" applyAlignment="1" applyProtection="1">
      <alignment horizontal="center"/>
      <protection hidden="1"/>
    </xf>
    <xf numFmtId="2" fontId="26" fillId="4" borderId="40" xfId="1" applyNumberFormat="1" applyFont="1" applyFill="1" applyBorder="1" applyAlignment="1" applyProtection="1">
      <alignment horizontal="center"/>
      <protection hidden="1"/>
    </xf>
    <xf numFmtId="2" fontId="26" fillId="4" borderId="50" xfId="1" applyNumberFormat="1" applyFont="1" applyFill="1" applyBorder="1" applyAlignment="1" applyProtection="1">
      <alignment horizontal="center"/>
      <protection hidden="1"/>
    </xf>
    <xf numFmtId="165" fontId="9" fillId="0" borderId="34" xfId="0" applyNumberFormat="1" applyFont="1" applyBorder="1" applyAlignment="1" applyProtection="1">
      <alignment horizontal="center"/>
      <protection hidden="1"/>
    </xf>
    <xf numFmtId="165" fontId="9" fillId="0" borderId="38" xfId="0" applyNumberFormat="1" applyFont="1" applyBorder="1" applyAlignment="1" applyProtection="1">
      <alignment horizontal="center"/>
      <protection hidden="1"/>
    </xf>
    <xf numFmtId="165" fontId="9" fillId="0" borderId="16" xfId="0" applyNumberFormat="1" applyFont="1" applyBorder="1" applyAlignment="1" applyProtection="1">
      <alignment horizontal="center"/>
      <protection hidden="1"/>
    </xf>
    <xf numFmtId="165" fontId="9" fillId="0" borderId="15" xfId="0" applyNumberFormat="1" applyFont="1" applyBorder="1" applyAlignment="1" applyProtection="1">
      <alignment horizontal="center"/>
      <protection hidden="1"/>
    </xf>
    <xf numFmtId="165" fontId="27" fillId="0" borderId="9" xfId="0" applyNumberFormat="1" applyFont="1" applyBorder="1" applyAlignment="1" applyProtection="1">
      <alignment horizontal="center"/>
      <protection hidden="1"/>
    </xf>
    <xf numFmtId="165" fontId="9" fillId="0" borderId="33" xfId="0" applyNumberFormat="1" applyFont="1" applyBorder="1" applyAlignment="1" applyProtection="1">
      <alignment horizontal="center"/>
      <protection hidden="1"/>
    </xf>
    <xf numFmtId="165" fontId="9" fillId="0" borderId="31" xfId="0" applyNumberFormat="1" applyFont="1" applyBorder="1" applyAlignment="1" applyProtection="1">
      <alignment horizontal="center"/>
      <protection hidden="1"/>
    </xf>
    <xf numFmtId="2" fontId="9" fillId="0" borderId="17" xfId="0" applyNumberFormat="1" applyFont="1" applyBorder="1" applyAlignment="1" applyProtection="1">
      <alignment horizontal="center"/>
      <protection hidden="1"/>
    </xf>
    <xf numFmtId="2" fontId="9" fillId="0" borderId="18" xfId="0" applyNumberFormat="1" applyFont="1" applyBorder="1" applyAlignment="1" applyProtection="1">
      <alignment horizontal="center"/>
      <protection hidden="1"/>
    </xf>
    <xf numFmtId="2" fontId="9" fillId="0" borderId="20" xfId="0" applyNumberFormat="1" applyFont="1" applyBorder="1" applyAlignment="1" applyProtection="1">
      <alignment horizontal="center"/>
      <protection hidden="1"/>
    </xf>
    <xf numFmtId="2" fontId="9" fillId="0" borderId="43" xfId="0" applyNumberFormat="1" applyFont="1" applyBorder="1" applyAlignment="1" applyProtection="1">
      <alignment horizontal="center"/>
      <protection hidden="1"/>
    </xf>
    <xf numFmtId="2" fontId="9" fillId="0" borderId="21" xfId="0" applyNumberFormat="1" applyFont="1" applyBorder="1" applyAlignment="1" applyProtection="1">
      <alignment horizontal="center"/>
      <protection hidden="1"/>
    </xf>
    <xf numFmtId="2" fontId="9" fillId="0" borderId="9" xfId="0" applyNumberFormat="1" applyFont="1" applyBorder="1" applyAlignment="1" applyProtection="1">
      <alignment horizontal="center"/>
      <protection hidden="1"/>
    </xf>
    <xf numFmtId="2" fontId="9" fillId="0" borderId="22" xfId="0" applyNumberFormat="1" applyFont="1" applyBorder="1" applyAlignment="1" applyProtection="1">
      <alignment horizontal="center"/>
      <protection hidden="1"/>
    </xf>
    <xf numFmtId="2" fontId="9" fillId="0" borderId="44" xfId="0" applyNumberFormat="1" applyFont="1" applyBorder="1" applyAlignment="1" applyProtection="1">
      <alignment horizontal="center"/>
      <protection hidden="1"/>
    </xf>
    <xf numFmtId="2" fontId="9" fillId="0" borderId="23" xfId="0" applyNumberFormat="1" applyFont="1" applyBorder="1" applyAlignment="1" applyProtection="1">
      <alignment horizontal="center"/>
      <protection hidden="1"/>
    </xf>
    <xf numFmtId="2" fontId="9" fillId="0" borderId="24" xfId="0" applyNumberFormat="1" applyFont="1" applyBorder="1" applyAlignment="1" applyProtection="1">
      <alignment horizontal="center"/>
      <protection hidden="1"/>
    </xf>
    <xf numFmtId="2" fontId="9" fillId="0" borderId="25" xfId="0" applyNumberFormat="1" applyFont="1" applyBorder="1" applyAlignment="1" applyProtection="1">
      <alignment horizontal="center"/>
      <protection hidden="1"/>
    </xf>
    <xf numFmtId="2" fontId="9" fillId="0" borderId="45" xfId="0" applyNumberFormat="1" applyFont="1" applyBorder="1" applyAlignment="1" applyProtection="1">
      <alignment horizontal="center"/>
      <protection hidden="1"/>
    </xf>
    <xf numFmtId="2" fontId="14" fillId="6" borderId="51" xfId="0" applyNumberFormat="1" applyFont="1" applyFill="1" applyBorder="1" applyAlignment="1" applyProtection="1">
      <alignment horizontal="center"/>
      <protection hidden="1"/>
    </xf>
    <xf numFmtId="0" fontId="23" fillId="6" borderId="51" xfId="0" applyFont="1" applyFill="1" applyBorder="1" applyAlignment="1">
      <alignment horizontal="center"/>
    </xf>
    <xf numFmtId="2" fontId="14" fillId="6" borderId="55" xfId="0" applyNumberFormat="1" applyFont="1" applyFill="1" applyBorder="1" applyAlignment="1" applyProtection="1">
      <alignment horizontal="center"/>
      <protection hidden="1"/>
    </xf>
    <xf numFmtId="0" fontId="23" fillId="6" borderId="55" xfId="0" applyFont="1" applyFill="1" applyBorder="1" applyAlignment="1">
      <alignment horizontal="center"/>
    </xf>
    <xf numFmtId="2" fontId="14" fillId="6" borderId="57" xfId="0" applyNumberFormat="1" applyFont="1" applyFill="1" applyBorder="1" applyAlignment="1" applyProtection="1">
      <alignment horizontal="center"/>
      <protection hidden="1"/>
    </xf>
    <xf numFmtId="0" fontId="23" fillId="6" borderId="57" xfId="0" applyFont="1" applyFill="1" applyBorder="1" applyAlignment="1">
      <alignment horizontal="center"/>
    </xf>
    <xf numFmtId="0" fontId="9" fillId="0" borderId="59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38" xfId="0" applyFont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9" fillId="0" borderId="52" xfId="0" applyFont="1" applyBorder="1" applyAlignment="1">
      <alignment horizontal="center"/>
    </xf>
    <xf numFmtId="0" fontId="9" fillId="0" borderId="33" xfId="0" applyFont="1" applyBorder="1" applyAlignment="1">
      <alignment horizontal="center"/>
    </xf>
    <xf numFmtId="0" fontId="9" fillId="0" borderId="31" xfId="0" applyFont="1" applyBorder="1" applyAlignment="1">
      <alignment horizontal="center"/>
    </xf>
    <xf numFmtId="165" fontId="23" fillId="0" borderId="46" xfId="0" applyNumberFormat="1" applyFont="1" applyBorder="1" applyAlignment="1" applyProtection="1">
      <alignment horizontal="center"/>
      <protection hidden="1"/>
    </xf>
    <xf numFmtId="165" fontId="23" fillId="0" borderId="27" xfId="0" applyNumberFormat="1" applyFont="1" applyBorder="1" applyAlignment="1" applyProtection="1">
      <alignment horizontal="center"/>
      <protection hidden="1"/>
    </xf>
    <xf numFmtId="165" fontId="23" fillId="0" borderId="28" xfId="0" applyNumberFormat="1" applyFont="1" applyBorder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0" fontId="27" fillId="0" borderId="0" xfId="0" applyFont="1" applyProtection="1">
      <protection hidden="1"/>
    </xf>
    <xf numFmtId="165" fontId="16" fillId="0" borderId="0" xfId="2" applyNumberFormat="1" applyFont="1" applyAlignment="1" applyProtection="1">
      <alignment horizontal="center" vertical="center"/>
      <protection locked="0"/>
    </xf>
    <xf numFmtId="2" fontId="12" fillId="0" borderId="0" xfId="2" applyNumberFormat="1" applyProtection="1">
      <protection locked="0"/>
    </xf>
    <xf numFmtId="2" fontId="16" fillId="0" borderId="0" xfId="2" applyNumberFormat="1" applyFont="1" applyAlignment="1" applyProtection="1">
      <alignment horizontal="center" vertical="center"/>
      <protection locked="0"/>
    </xf>
    <xf numFmtId="2" fontId="12" fillId="0" borderId="0" xfId="2" quotePrefix="1" applyNumberFormat="1" applyProtection="1">
      <protection locked="0"/>
    </xf>
    <xf numFmtId="2" fontId="16" fillId="0" borderId="0" xfId="2" applyNumberFormat="1" applyFont="1" applyProtection="1">
      <protection locked="0"/>
    </xf>
    <xf numFmtId="165" fontId="16" fillId="5" borderId="0" xfId="2" applyNumberFormat="1" applyFont="1" applyFill="1" applyAlignment="1" applyProtection="1">
      <alignment horizontal="center"/>
      <protection hidden="1"/>
    </xf>
    <xf numFmtId="0" fontId="16" fillId="0" borderId="0" xfId="2" applyFont="1" applyAlignment="1" applyProtection="1">
      <alignment horizontal="center"/>
      <protection hidden="1"/>
    </xf>
    <xf numFmtId="165" fontId="16" fillId="0" borderId="0" xfId="2" applyNumberFormat="1" applyFont="1" applyAlignment="1" applyProtection="1">
      <alignment horizontal="center"/>
      <protection locked="0" hidden="1"/>
    </xf>
    <xf numFmtId="0" fontId="16" fillId="0" borderId="0" xfId="2" applyFont="1" applyAlignment="1" applyProtection="1">
      <alignment horizontal="center"/>
      <protection locked="0" hidden="1"/>
    </xf>
    <xf numFmtId="164" fontId="22" fillId="5" borderId="9" xfId="0" applyNumberFormat="1" applyFont="1" applyFill="1" applyBorder="1" applyAlignment="1">
      <alignment horizontal="center" vertical="center"/>
    </xf>
    <xf numFmtId="164" fontId="22" fillId="5" borderId="15" xfId="0" applyNumberFormat="1" applyFont="1" applyFill="1" applyBorder="1" applyAlignment="1">
      <alignment vertical="center"/>
    </xf>
    <xf numFmtId="0" fontId="21" fillId="5" borderId="9" xfId="2" applyFont="1" applyFill="1" applyBorder="1" applyAlignment="1" applyProtection="1">
      <alignment horizontal="center" wrapText="1"/>
      <protection locked="0"/>
    </xf>
    <xf numFmtId="164" fontId="22" fillId="5" borderId="15" xfId="2" applyNumberFormat="1" applyFont="1" applyFill="1" applyBorder="1" applyAlignment="1" applyProtection="1">
      <alignment horizontal="center" vertical="center" wrapText="1"/>
      <protection hidden="1"/>
    </xf>
    <xf numFmtId="0" fontId="21" fillId="5" borderId="9" xfId="2" applyFont="1" applyFill="1" applyBorder="1" applyAlignment="1" applyProtection="1">
      <alignment horizontal="center" vertical="center" wrapText="1"/>
      <protection locked="0"/>
    </xf>
    <xf numFmtId="165" fontId="19" fillId="0" borderId="9" xfId="2" applyNumberFormat="1" applyFont="1" applyBorder="1" applyAlignment="1" applyProtection="1">
      <alignment horizontal="center" vertical="center"/>
      <protection hidden="1"/>
    </xf>
    <xf numFmtId="2" fontId="19" fillId="6" borderId="9" xfId="2" applyNumberFormat="1" applyFont="1" applyFill="1" applyBorder="1" applyAlignment="1" applyProtection="1">
      <alignment horizontal="center" vertical="center"/>
      <protection hidden="1"/>
    </xf>
    <xf numFmtId="2" fontId="23" fillId="6" borderId="9" xfId="0" applyNumberFormat="1" applyFont="1" applyFill="1" applyBorder="1" applyAlignment="1" applyProtection="1">
      <alignment horizontal="center"/>
      <protection hidden="1"/>
    </xf>
    <xf numFmtId="2" fontId="14" fillId="5" borderId="0" xfId="2" applyNumberFormat="1" applyFont="1" applyFill="1" applyProtection="1">
      <protection locked="0"/>
    </xf>
    <xf numFmtId="2" fontId="14" fillId="5" borderId="0" xfId="2" quotePrefix="1" applyNumberFormat="1" applyFont="1" applyFill="1" applyProtection="1">
      <protection locked="0"/>
    </xf>
    <xf numFmtId="2" fontId="25" fillId="0" borderId="9" xfId="2" applyNumberFormat="1" applyFont="1" applyBorder="1" applyAlignment="1" applyProtection="1">
      <alignment horizontal="center" vertical="center"/>
      <protection locked="0"/>
    </xf>
    <xf numFmtId="2" fontId="25" fillId="0" borderId="9" xfId="2" applyNumberFormat="1" applyFont="1" applyBorder="1" applyAlignment="1" applyProtection="1">
      <alignment horizontal="center" vertical="center"/>
      <protection hidden="1"/>
    </xf>
    <xf numFmtId="2" fontId="21" fillId="0" borderId="0" xfId="2" applyNumberFormat="1" applyFont="1" applyProtection="1">
      <protection locked="0" hidden="1"/>
    </xf>
    <xf numFmtId="2" fontId="15" fillId="0" borderId="0" xfId="2" applyNumberFormat="1" applyFont="1" applyAlignment="1" applyProtection="1">
      <alignment horizontal="right"/>
      <protection locked="0" hidden="1"/>
    </xf>
    <xf numFmtId="2" fontId="24" fillId="0" borderId="0" xfId="2" applyNumberFormat="1" applyFont="1" applyAlignment="1" applyProtection="1">
      <alignment horizontal="center"/>
      <protection locked="0" hidden="1"/>
    </xf>
    <xf numFmtId="0" fontId="15" fillId="0" borderId="0" xfId="2" applyFont="1" applyProtection="1">
      <protection locked="0" hidden="1"/>
    </xf>
    <xf numFmtId="2" fontId="21" fillId="0" borderId="0" xfId="2" applyNumberFormat="1" applyFont="1" applyAlignment="1" applyProtection="1">
      <alignment horizontal="right"/>
      <protection locked="0" hidden="1"/>
    </xf>
    <xf numFmtId="2" fontId="13" fillId="0" borderId="0" xfId="2" applyNumberFormat="1" applyFont="1" applyProtection="1">
      <protection locked="0" hidden="1"/>
    </xf>
    <xf numFmtId="165" fontId="15" fillId="0" borderId="0" xfId="2" applyNumberFormat="1" applyFont="1" applyAlignment="1" applyProtection="1">
      <alignment horizontal="center"/>
      <protection locked="0" hidden="1"/>
    </xf>
    <xf numFmtId="0" fontId="15" fillId="7" borderId="0" xfId="2" applyFont="1" applyFill="1" applyProtection="1">
      <protection locked="0" hidden="1"/>
    </xf>
    <xf numFmtId="0" fontId="15" fillId="8" borderId="0" xfId="2" applyFont="1" applyFill="1" applyProtection="1">
      <protection locked="0" hidden="1"/>
    </xf>
    <xf numFmtId="165" fontId="30" fillId="0" borderId="9" xfId="2" applyNumberFormat="1" applyFont="1" applyBorder="1" applyAlignment="1" applyProtection="1">
      <alignment horizontal="center" vertical="center"/>
      <protection hidden="1"/>
    </xf>
    <xf numFmtId="165" fontId="9" fillId="0" borderId="0" xfId="0" applyNumberFormat="1" applyFont="1" applyAlignment="1" applyProtection="1">
      <alignment horizontal="center"/>
      <protection hidden="1"/>
    </xf>
    <xf numFmtId="2" fontId="14" fillId="0" borderId="0" xfId="0" applyNumberFormat="1" applyFont="1" applyAlignment="1" applyProtection="1">
      <alignment horizontal="center"/>
      <protection hidden="1"/>
    </xf>
    <xf numFmtId="0" fontId="9" fillId="0" borderId="0" xfId="0" applyFont="1" applyAlignment="1">
      <alignment horizontal="center"/>
    </xf>
    <xf numFmtId="2" fontId="9" fillId="0" borderId="40" xfId="0" applyNumberFormat="1" applyFont="1" applyBorder="1" applyAlignment="1" applyProtection="1">
      <alignment horizontal="center"/>
      <protection locked="0"/>
    </xf>
    <xf numFmtId="2" fontId="9" fillId="0" borderId="8" xfId="0" applyNumberFormat="1" applyFont="1" applyBorder="1" applyAlignment="1" applyProtection="1">
      <alignment horizontal="center"/>
      <protection locked="0"/>
    </xf>
    <xf numFmtId="2" fontId="9" fillId="0" borderId="41" xfId="0" applyNumberFormat="1" applyFont="1" applyBorder="1" applyAlignment="1" applyProtection="1">
      <alignment horizontal="center"/>
      <protection locked="0"/>
    </xf>
    <xf numFmtId="2" fontId="9" fillId="0" borderId="50" xfId="0" applyNumberFormat="1" applyFont="1" applyBorder="1" applyAlignment="1" applyProtection="1">
      <alignment horizontal="center"/>
      <protection locked="0"/>
    </xf>
    <xf numFmtId="165" fontId="23" fillId="0" borderId="64" xfId="0" applyNumberFormat="1" applyFont="1" applyBorder="1" applyAlignment="1" applyProtection="1">
      <alignment horizontal="center"/>
      <protection hidden="1"/>
    </xf>
    <xf numFmtId="165" fontId="9" fillId="0" borderId="0" xfId="0" applyNumberFormat="1" applyFont="1" applyAlignment="1" applyProtection="1">
      <alignment horizontal="center"/>
      <protection locked="0" hidden="1"/>
    </xf>
    <xf numFmtId="2" fontId="25" fillId="9" borderId="9" xfId="0" applyNumberFormat="1" applyFont="1" applyFill="1" applyBorder="1" applyAlignment="1" applyProtection="1">
      <alignment horizontal="center"/>
      <protection hidden="1"/>
    </xf>
    <xf numFmtId="165" fontId="9" fillId="0" borderId="32" xfId="0" applyNumberFormat="1" applyFont="1" applyBorder="1" applyAlignment="1" applyProtection="1">
      <alignment horizontal="center"/>
      <protection hidden="1"/>
    </xf>
    <xf numFmtId="165" fontId="9" fillId="0" borderId="35" xfId="0" applyNumberFormat="1" applyFont="1" applyBorder="1" applyAlignment="1" applyProtection="1">
      <alignment horizontal="center"/>
      <protection hidden="1"/>
    </xf>
    <xf numFmtId="165" fontId="9" fillId="0" borderId="37" xfId="0" applyNumberFormat="1" applyFont="1" applyBorder="1" applyAlignment="1" applyProtection="1">
      <alignment horizontal="center"/>
      <protection hidden="1"/>
    </xf>
    <xf numFmtId="0" fontId="2" fillId="0" borderId="66" xfId="0" applyFont="1" applyBorder="1"/>
    <xf numFmtId="0" fontId="1" fillId="0" borderId="67" xfId="0" applyFont="1" applyBorder="1" applyAlignment="1">
      <alignment horizontal="center"/>
    </xf>
    <xf numFmtId="0" fontId="0" fillId="0" borderId="66" xfId="0" applyBorder="1"/>
    <xf numFmtId="0" fontId="28" fillId="0" borderId="69" xfId="0" applyFont="1" applyBorder="1" applyProtection="1">
      <protection locked="0"/>
    </xf>
    <xf numFmtId="0" fontId="6" fillId="0" borderId="5" xfId="0" applyFont="1" applyBorder="1"/>
    <xf numFmtId="2" fontId="31" fillId="0" borderId="0" xfId="0" applyNumberFormat="1" applyFont="1"/>
    <xf numFmtId="2" fontId="15" fillId="0" borderId="0" xfId="0" applyNumberFormat="1" applyFont="1"/>
    <xf numFmtId="0" fontId="28" fillId="0" borderId="13" xfId="0" applyFont="1" applyBorder="1" applyAlignment="1" applyProtection="1">
      <alignment horizontal="center"/>
      <protection locked="0"/>
    </xf>
    <xf numFmtId="2" fontId="13" fillId="0" borderId="0" xfId="2" applyNumberFormat="1" applyFont="1" applyAlignment="1" applyProtection="1">
      <alignment horizontal="center"/>
      <protection locked="0" hidden="1"/>
    </xf>
    <xf numFmtId="167" fontId="15" fillId="0" borderId="0" xfId="2" quotePrefix="1" applyNumberFormat="1" applyFont="1" applyAlignment="1" applyProtection="1">
      <alignment horizontal="left"/>
      <protection locked="0" hidden="1"/>
    </xf>
    <xf numFmtId="167" fontId="13" fillId="0" borderId="0" xfId="2" applyNumberFormat="1" applyFont="1" applyAlignment="1" applyProtection="1">
      <alignment horizontal="left"/>
      <protection locked="0" hidden="1"/>
    </xf>
    <xf numFmtId="167" fontId="15" fillId="0" borderId="0" xfId="2" applyNumberFormat="1" applyFont="1" applyAlignment="1" applyProtection="1">
      <alignment horizontal="left"/>
      <protection locked="0" hidden="1"/>
    </xf>
    <xf numFmtId="0" fontId="15" fillId="0" borderId="0" xfId="2" applyFont="1" applyAlignment="1" applyProtection="1">
      <alignment horizontal="center"/>
      <protection locked="0" hidden="1"/>
    </xf>
    <xf numFmtId="2" fontId="29" fillId="0" borderId="0" xfId="2" applyNumberFormat="1" applyFont="1" applyAlignment="1" applyProtection="1">
      <alignment horizontal="center"/>
      <protection locked="0" hidden="1"/>
    </xf>
    <xf numFmtId="165" fontId="15" fillId="10" borderId="0" xfId="2" applyNumberFormat="1" applyFont="1" applyFill="1" applyAlignment="1" applyProtection="1">
      <alignment horizontal="center"/>
      <protection locked="0" hidden="1"/>
    </xf>
    <xf numFmtId="2" fontId="29" fillId="10" borderId="0" xfId="2" applyNumberFormat="1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8" fillId="0" borderId="0" xfId="0" applyFont="1" applyAlignment="1">
      <alignment horizontal="center"/>
    </xf>
    <xf numFmtId="0" fontId="2" fillId="0" borderId="13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2" fontId="9" fillId="0" borderId="17" xfId="0" applyNumberFormat="1" applyFont="1" applyBorder="1" applyAlignment="1">
      <alignment horizontal="center"/>
    </xf>
    <xf numFmtId="165" fontId="9" fillId="2" borderId="17" xfId="0" applyNumberFormat="1" applyFont="1" applyFill="1" applyBorder="1" applyAlignment="1" applyProtection="1">
      <alignment horizontal="center"/>
      <protection hidden="1"/>
    </xf>
    <xf numFmtId="2" fontId="0" fillId="0" borderId="70" xfId="0" applyNumberFormat="1" applyBorder="1" applyProtection="1">
      <protection locked="0"/>
    </xf>
    <xf numFmtId="167" fontId="34" fillId="0" borderId="9" xfId="2" quotePrefix="1" applyNumberFormat="1" applyFont="1" applyBorder="1" applyAlignment="1" applyProtection="1">
      <alignment horizontal="center"/>
      <protection locked="0" hidden="1"/>
    </xf>
    <xf numFmtId="167" fontId="34" fillId="0" borderId="9" xfId="2" applyNumberFormat="1" applyFont="1" applyBorder="1" applyAlignment="1" applyProtection="1">
      <alignment horizontal="center"/>
      <protection locked="0" hidden="1"/>
    </xf>
    <xf numFmtId="166" fontId="1" fillId="0" borderId="9" xfId="0" applyNumberFormat="1" applyFont="1" applyBorder="1" applyAlignment="1">
      <alignment horizontal="center"/>
    </xf>
    <xf numFmtId="0" fontId="1" fillId="0" borderId="7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0" xfId="0" applyFont="1" applyAlignment="1">
      <alignment horizontal="left"/>
    </xf>
    <xf numFmtId="166" fontId="7" fillId="10" borderId="9" xfId="2" applyNumberFormat="1" applyFont="1" applyFill="1" applyBorder="1" applyAlignment="1" applyProtection="1">
      <alignment horizontal="center" vertical="center"/>
      <protection locked="0"/>
    </xf>
    <xf numFmtId="0" fontId="36" fillId="0" borderId="13" xfId="0" applyFont="1" applyBorder="1" applyAlignment="1" applyProtection="1">
      <alignment horizontal="center"/>
      <protection locked="0"/>
    </xf>
    <xf numFmtId="0" fontId="37" fillId="11" borderId="53" xfId="0" applyFont="1" applyFill="1" applyBorder="1" applyAlignment="1" applyProtection="1">
      <alignment horizontal="center"/>
      <protection locked="0"/>
    </xf>
    <xf numFmtId="0" fontId="35" fillId="5" borderId="9" xfId="2" applyFont="1" applyFill="1" applyBorder="1" applyAlignment="1" applyProtection="1">
      <alignment horizontal="center" vertical="center"/>
      <protection locked="0"/>
    </xf>
    <xf numFmtId="165" fontId="0" fillId="0" borderId="9" xfId="0" applyNumberFormat="1" applyBorder="1"/>
    <xf numFmtId="0" fontId="14" fillId="0" borderId="0" xfId="2" applyFont="1" applyAlignment="1" applyProtection="1">
      <alignment horizontal="left"/>
      <protection locked="0"/>
    </xf>
    <xf numFmtId="0" fontId="29" fillId="6" borderId="9" xfId="2" applyFont="1" applyFill="1" applyBorder="1" applyAlignment="1" applyProtection="1">
      <alignment horizontal="center"/>
      <protection locked="0"/>
    </xf>
    <xf numFmtId="0" fontId="19" fillId="6" borderId="9" xfId="2" applyFont="1" applyFill="1" applyBorder="1" applyAlignment="1" applyProtection="1">
      <alignment horizontal="center"/>
      <protection locked="0"/>
    </xf>
    <xf numFmtId="0" fontId="19" fillId="6" borderId="14" xfId="2" applyFont="1" applyFill="1" applyBorder="1" applyAlignment="1" applyProtection="1">
      <alignment horizontal="center"/>
      <protection locked="0"/>
    </xf>
    <xf numFmtId="0" fontId="15" fillId="0" borderId="0" xfId="2" applyFont="1" applyAlignment="1" applyProtection="1">
      <alignment horizontal="center"/>
      <protection locked="0" hidden="1"/>
    </xf>
    <xf numFmtId="0" fontId="2" fillId="0" borderId="0" xfId="0" applyFont="1" applyAlignment="1">
      <alignment horizontal="right" vertical="justify" wrapText="1"/>
    </xf>
    <xf numFmtId="0" fontId="3" fillId="5" borderId="47" xfId="0" applyFont="1" applyFill="1" applyBorder="1" applyAlignment="1">
      <alignment horizontal="center" vertical="center" textRotation="90" wrapText="1"/>
    </xf>
    <xf numFmtId="0" fontId="3" fillId="5" borderId="21" xfId="0" applyFont="1" applyFill="1" applyBorder="1" applyAlignment="1">
      <alignment horizontal="center" vertical="center" textRotation="90" wrapText="1"/>
    </xf>
    <xf numFmtId="0" fontId="3" fillId="5" borderId="54" xfId="0" applyFont="1" applyFill="1" applyBorder="1" applyAlignment="1">
      <alignment horizontal="center" vertical="center" textRotation="90" wrapText="1"/>
    </xf>
    <xf numFmtId="0" fontId="3" fillId="5" borderId="12" xfId="0" applyFont="1" applyFill="1" applyBorder="1" applyAlignment="1">
      <alignment horizontal="center" vertical="center" textRotation="90" wrapText="1"/>
    </xf>
    <xf numFmtId="0" fontId="3" fillId="5" borderId="15" xfId="0" applyFont="1" applyFill="1" applyBorder="1" applyAlignment="1">
      <alignment horizontal="center" vertical="center" textRotation="90" wrapText="1"/>
    </xf>
    <xf numFmtId="0" fontId="3" fillId="5" borderId="11" xfId="0" applyFont="1" applyFill="1" applyBorder="1" applyAlignment="1">
      <alignment horizontal="center" vertical="center" textRotation="90" wrapText="1"/>
    </xf>
    <xf numFmtId="0" fontId="3" fillId="5" borderId="51" xfId="0" applyFont="1" applyFill="1" applyBorder="1" applyAlignment="1">
      <alignment horizontal="center" vertical="center" textRotation="90" wrapText="1"/>
    </xf>
    <xf numFmtId="0" fontId="3" fillId="5" borderId="55" xfId="0" applyFont="1" applyFill="1" applyBorder="1" applyAlignment="1">
      <alignment horizontal="center" vertical="center" textRotation="90" wrapText="1"/>
    </xf>
    <xf numFmtId="0" fontId="3" fillId="5" borderId="56" xfId="0" applyFont="1" applyFill="1" applyBorder="1" applyAlignment="1">
      <alignment horizontal="center" vertical="center" textRotation="90" wrapText="1"/>
    </xf>
    <xf numFmtId="0" fontId="2" fillId="5" borderId="58" xfId="0" applyFont="1" applyFill="1" applyBorder="1" applyAlignment="1">
      <alignment horizontal="center" vertical="center" textRotation="90" wrapText="1"/>
    </xf>
    <xf numFmtId="0" fontId="2" fillId="5" borderId="59" xfId="0" applyFont="1" applyFill="1" applyBorder="1" applyAlignment="1">
      <alignment horizontal="center" vertical="center" textRotation="90" wrapText="1"/>
    </xf>
    <xf numFmtId="0" fontId="2" fillId="5" borderId="52" xfId="0" applyFont="1" applyFill="1" applyBorder="1" applyAlignment="1">
      <alignment horizontal="center" vertical="center" textRotation="90" wrapText="1"/>
    </xf>
    <xf numFmtId="0" fontId="23" fillId="0" borderId="60" xfId="0" applyFont="1" applyBorder="1" applyAlignment="1">
      <alignment horizontal="center"/>
    </xf>
    <xf numFmtId="0" fontId="23" fillId="0" borderId="61" xfId="0" applyFont="1" applyBorder="1" applyAlignment="1">
      <alignment horizontal="center"/>
    </xf>
    <xf numFmtId="0" fontId="23" fillId="0" borderId="63" xfId="0" applyFont="1" applyBorder="1" applyAlignment="1">
      <alignment horizont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67" xfId="0" applyFont="1" applyFill="1" applyBorder="1" applyAlignment="1">
      <alignment horizontal="center" vertical="center" wrapText="1"/>
    </xf>
    <xf numFmtId="0" fontId="2" fillId="2" borderId="65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2" fillId="2" borderId="68" xfId="0" applyFont="1" applyFill="1" applyBorder="1" applyAlignment="1">
      <alignment horizontal="center" vertical="center" wrapText="1"/>
    </xf>
    <xf numFmtId="0" fontId="2" fillId="0" borderId="0" xfId="0" applyFont="1" applyAlignment="1" applyProtection="1">
      <alignment horizontal="center"/>
      <protection locked="0"/>
    </xf>
    <xf numFmtId="14" fontId="2" fillId="0" borderId="0" xfId="0" applyNumberFormat="1" applyFont="1" applyAlignment="1" applyProtection="1">
      <alignment horizontal="center"/>
      <protection locked="0"/>
    </xf>
    <xf numFmtId="0" fontId="28" fillId="0" borderId="13" xfId="0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14" fontId="28" fillId="0" borderId="13" xfId="0" applyNumberFormat="1" applyFont="1" applyBorder="1" applyAlignment="1" applyProtection="1">
      <alignment horizontal="center"/>
      <protection locked="0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2" xfId="0" applyFont="1" applyFill="1" applyBorder="1" applyAlignment="1">
      <alignment horizontal="center" vertical="center" textRotation="90" wrapText="1"/>
    </xf>
    <xf numFmtId="0" fontId="2" fillId="2" borderId="5" xfId="0" applyFont="1" applyFill="1" applyBorder="1" applyAlignment="1">
      <alignment horizontal="center" vertical="center" textRotation="90" wrapText="1"/>
    </xf>
    <xf numFmtId="0" fontId="2" fillId="2" borderId="7" xfId="0" applyFont="1" applyFill="1" applyBorder="1" applyAlignment="1">
      <alignment horizontal="center" vertical="center" textRotation="90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0" fontId="1" fillId="2" borderId="23" xfId="0" applyFont="1" applyFill="1" applyBorder="1" applyAlignment="1">
      <alignment horizontal="center" vertical="center" wrapText="1"/>
    </xf>
    <xf numFmtId="0" fontId="1" fillId="2" borderId="24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30" xfId="0" applyFont="1" applyFill="1" applyBorder="1" applyAlignment="1">
      <alignment horizontal="center" vertical="center" wrapText="1"/>
    </xf>
    <xf numFmtId="0" fontId="8" fillId="0" borderId="13" xfId="0" applyFont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4" fontId="2" fillId="0" borderId="13" xfId="0" applyNumberFormat="1" applyFont="1" applyBorder="1" applyAlignment="1" applyProtection="1">
      <alignment horizontal="center"/>
      <protection locked="0"/>
    </xf>
    <xf numFmtId="0" fontId="2" fillId="0" borderId="13" xfId="0" applyFont="1" applyBorder="1" applyAlignment="1" applyProtection="1">
      <alignment horizontal="center"/>
      <protection locked="0"/>
    </xf>
    <xf numFmtId="0" fontId="7" fillId="2" borderId="2" xfId="0" applyFont="1" applyFill="1" applyBorder="1" applyAlignment="1" applyProtection="1">
      <alignment horizontal="center"/>
      <protection hidden="1"/>
    </xf>
    <xf numFmtId="0" fontId="7" fillId="2" borderId="3" xfId="0" applyFont="1" applyFill="1" applyBorder="1" applyAlignment="1" applyProtection="1">
      <alignment horizontal="center"/>
      <protection hidden="1"/>
    </xf>
    <xf numFmtId="0" fontId="7" fillId="2" borderId="4" xfId="0" applyFont="1" applyFill="1" applyBorder="1" applyAlignment="1" applyProtection="1">
      <alignment horizontal="center"/>
      <protection hidden="1"/>
    </xf>
    <xf numFmtId="0" fontId="7" fillId="2" borderId="5" xfId="0" applyFont="1" applyFill="1" applyBorder="1" applyAlignment="1" applyProtection="1">
      <alignment horizontal="center"/>
      <protection hidden="1"/>
    </xf>
    <xf numFmtId="0" fontId="7" fillId="2" borderId="0" xfId="0" applyFont="1" applyFill="1" applyAlignment="1" applyProtection="1">
      <alignment horizontal="center"/>
      <protection hidden="1"/>
    </xf>
    <xf numFmtId="0" fontId="7" fillId="2" borderId="6" xfId="0" applyFont="1" applyFill="1" applyBorder="1" applyAlignment="1" applyProtection="1">
      <alignment horizontal="center"/>
      <protection hidden="1"/>
    </xf>
    <xf numFmtId="0" fontId="8" fillId="0" borderId="13" xfId="0" applyFont="1" applyBorder="1" applyAlignment="1" applyProtection="1">
      <alignment horizontal="center"/>
      <protection hidden="1"/>
    </xf>
    <xf numFmtId="0" fontId="22" fillId="0" borderId="0" xfId="0" applyFont="1" applyAlignment="1" applyProtection="1">
      <alignment horizontal="center"/>
      <protection hidden="1"/>
    </xf>
    <xf numFmtId="0" fontId="22" fillId="0" borderId="13" xfId="0" applyFont="1" applyBorder="1" applyAlignment="1" applyProtection="1">
      <alignment horizontal="center"/>
      <protection hidden="1"/>
    </xf>
    <xf numFmtId="0" fontId="1" fillId="0" borderId="3" xfId="0" applyFont="1" applyBorder="1" applyAlignment="1" applyProtection="1">
      <alignment horizontal="center"/>
      <protection hidden="1"/>
    </xf>
    <xf numFmtId="0" fontId="1" fillId="0" borderId="4" xfId="0" applyFont="1" applyBorder="1" applyAlignment="1" applyProtection="1">
      <alignment horizontal="center"/>
      <protection hidden="1"/>
    </xf>
    <xf numFmtId="0" fontId="2" fillId="2" borderId="2" xfId="0" applyFont="1" applyFill="1" applyBorder="1" applyAlignment="1" applyProtection="1">
      <alignment horizontal="center" vertical="center" textRotation="90" wrapText="1"/>
      <protection hidden="1"/>
    </xf>
    <xf numFmtId="0" fontId="2" fillId="2" borderId="5" xfId="0" applyFont="1" applyFill="1" applyBorder="1" applyAlignment="1" applyProtection="1">
      <alignment horizontal="center" vertical="center" textRotation="90" wrapText="1"/>
      <protection hidden="1"/>
    </xf>
    <xf numFmtId="0" fontId="2" fillId="2" borderId="7" xfId="0" applyFont="1" applyFill="1" applyBorder="1" applyAlignment="1" applyProtection="1">
      <alignment horizontal="center" vertical="center" textRotation="90" wrapText="1"/>
      <protection hidden="1"/>
    </xf>
    <xf numFmtId="0" fontId="1" fillId="2" borderId="2" xfId="0" applyFont="1" applyFill="1" applyBorder="1" applyAlignment="1" applyProtection="1">
      <alignment horizontal="center" vertical="center" wrapText="1"/>
      <protection hidden="1"/>
    </xf>
    <xf numFmtId="0" fontId="1" fillId="2" borderId="3" xfId="0" applyFont="1" applyFill="1" applyBorder="1" applyAlignment="1" applyProtection="1">
      <alignment horizontal="center" vertical="center" wrapText="1"/>
      <protection hidden="1"/>
    </xf>
    <xf numFmtId="0" fontId="1" fillId="2" borderId="4" xfId="0" applyFont="1" applyFill="1" applyBorder="1" applyAlignment="1" applyProtection="1">
      <alignment horizontal="center" vertical="center" wrapText="1"/>
      <protection hidden="1"/>
    </xf>
    <xf numFmtId="0" fontId="1" fillId="2" borderId="5" xfId="0" applyFont="1" applyFill="1" applyBorder="1" applyAlignment="1" applyProtection="1">
      <alignment horizontal="center" vertical="center" wrapText="1"/>
      <protection hidden="1"/>
    </xf>
    <xf numFmtId="0" fontId="1" fillId="2" borderId="0" xfId="0" applyFont="1" applyFill="1" applyAlignment="1" applyProtection="1">
      <alignment horizontal="center" vertical="center" wrapText="1"/>
      <protection hidden="1"/>
    </xf>
    <xf numFmtId="0" fontId="1" fillId="2" borderId="6" xfId="0" applyFont="1" applyFill="1" applyBorder="1" applyAlignment="1" applyProtection="1">
      <alignment horizontal="center" vertical="center" wrapText="1"/>
      <protection hidden="1"/>
    </xf>
    <xf numFmtId="0" fontId="1" fillId="2" borderId="17" xfId="0" applyFont="1" applyFill="1" applyBorder="1" applyAlignment="1" applyProtection="1">
      <alignment horizontal="center" vertical="center" wrapText="1"/>
      <protection hidden="1"/>
    </xf>
    <xf numFmtId="0" fontId="1" fillId="2" borderId="18" xfId="0" applyFont="1" applyFill="1" applyBorder="1" applyAlignment="1" applyProtection="1">
      <alignment horizontal="center" vertical="center" wrapText="1"/>
      <protection hidden="1"/>
    </xf>
    <xf numFmtId="0" fontId="1" fillId="2" borderId="20" xfId="0" applyFont="1" applyFill="1" applyBorder="1" applyAlignment="1" applyProtection="1">
      <alignment horizontal="center" vertical="center" wrapText="1"/>
      <protection hidden="1"/>
    </xf>
    <xf numFmtId="0" fontId="1" fillId="2" borderId="23" xfId="0" applyFont="1" applyFill="1" applyBorder="1" applyAlignment="1" applyProtection="1">
      <alignment horizontal="center" vertical="center" wrapText="1"/>
      <protection hidden="1"/>
    </xf>
    <xf numFmtId="0" fontId="1" fillId="2" borderId="24" xfId="0" applyFont="1" applyFill="1" applyBorder="1" applyAlignment="1" applyProtection="1">
      <alignment horizontal="center" vertical="center" wrapText="1"/>
      <protection hidden="1"/>
    </xf>
    <xf numFmtId="0" fontId="1" fillId="2" borderId="25" xfId="0" applyFont="1" applyFill="1" applyBorder="1" applyAlignment="1" applyProtection="1">
      <alignment horizontal="center" vertical="center" wrapText="1"/>
      <protection hidden="1"/>
    </xf>
    <xf numFmtId="0" fontId="1" fillId="0" borderId="13" xfId="0" applyFont="1" applyBorder="1" applyAlignment="1">
      <alignment horizontal="center"/>
    </xf>
    <xf numFmtId="0" fontId="1" fillId="0" borderId="9" xfId="0" applyFont="1" applyBorder="1" applyAlignment="1">
      <alignment horizontal="center"/>
    </xf>
  </cellXfs>
  <cellStyles count="11">
    <cellStyle name="Neutral" xfId="1" builtinId="28"/>
    <cellStyle name="Neutral 2" xfId="6" xr:uid="{DAD7AFDF-AAC3-40BC-BC3E-21532DBC0637}"/>
    <cellStyle name="Neutral 3" xfId="7" xr:uid="{1EFF06D1-280E-40C2-A311-F22BEC597E3A}"/>
    <cellStyle name="Neutral 4" xfId="8" xr:uid="{06612DD6-4F69-433B-A850-FE76C9CB82B1}"/>
    <cellStyle name="Neutral 5" xfId="9" xr:uid="{D6C688F0-48DD-4316-AFCF-33873DEED977}"/>
    <cellStyle name="Neutral 6" xfId="10" xr:uid="{9AF91CD3-FE62-43A4-9766-E95FCBFB5EC9}"/>
    <cellStyle name="Normal" xfId="0" builtinId="0"/>
    <cellStyle name="Normal 2" xfId="2" xr:uid="{00000000-0005-0000-0000-000003000000}"/>
    <cellStyle name="Normal 2 2" xfId="5" xr:uid="{CB486B02-14A2-4462-B4A3-FBF5F8958604}"/>
    <cellStyle name="Normal 3" xfId="3" xr:uid="{00000000-0005-0000-0000-000004000000}"/>
    <cellStyle name="Normal 3 2" xfId="4" xr:uid="{00000000-0005-0000-0000-000005000000}"/>
  </cellStyles>
  <dxfs count="30">
    <dxf>
      <fill>
        <patternFill>
          <bgColor theme="5" tint="0.79998168889431442"/>
        </patternFill>
      </fill>
    </dxf>
    <dxf>
      <font>
        <color rgb="FFFF0000"/>
      </font>
    </dxf>
    <dxf>
      <font>
        <color auto="1"/>
      </font>
    </dxf>
    <dxf>
      <font>
        <color auto="1"/>
      </font>
    </dxf>
    <dxf>
      <font>
        <color rgb="FFFF0000"/>
      </font>
    </dxf>
    <dxf>
      <font>
        <color rgb="FFFF0000"/>
      </font>
    </dxf>
    <dxf>
      <font>
        <b val="0"/>
        <condense val="0"/>
        <extend val="0"/>
        <color indexed="10"/>
      </font>
    </dxf>
    <dxf>
      <font>
        <color theme="1"/>
      </font>
    </dxf>
    <dxf>
      <font>
        <color auto="1"/>
      </font>
    </dxf>
    <dxf>
      <font>
        <color rgb="FF9C0006"/>
      </font>
    </dxf>
    <dxf>
      <font>
        <b val="0"/>
        <condense val="0"/>
        <extend val="0"/>
        <color indexed="10"/>
      </font>
    </dxf>
    <dxf>
      <font>
        <color rgb="FFFF0000"/>
      </font>
    </dxf>
    <dxf>
      <font>
        <color rgb="FFFF0000"/>
      </font>
    </dxf>
    <dxf>
      <font>
        <b val="0"/>
        <condense val="0"/>
        <extend val="0"/>
        <color indexed="10"/>
      </font>
    </dxf>
    <dxf>
      <fill>
        <patternFill>
          <bgColor theme="5" tint="0.79998168889431442"/>
        </patternFill>
      </fill>
    </dxf>
    <dxf>
      <font>
        <color rgb="FF9C0006"/>
      </font>
    </dxf>
    <dxf>
      <font>
        <color rgb="FFFF0000"/>
      </font>
    </dxf>
    <dxf>
      <font>
        <color theme="1"/>
      </font>
    </dxf>
    <dxf>
      <font>
        <color auto="1"/>
      </font>
    </dxf>
    <dxf>
      <font>
        <color rgb="FF9C0006"/>
      </font>
    </dxf>
    <dxf>
      <font>
        <color rgb="FFFF0000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1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59999389629810485"/>
  </sheetPr>
  <dimension ref="A1:AZ152"/>
  <sheetViews>
    <sheetView tabSelected="1" zoomScale="85" zoomScaleNormal="85" workbookViewId="0">
      <pane ySplit="3" topLeftCell="A167" activePane="bottomLeft" state="frozen"/>
      <selection pane="bottomLeft" activeCell="AI3" sqref="AI3:AL33"/>
    </sheetView>
  </sheetViews>
  <sheetFormatPr defaultRowHeight="15" x14ac:dyDescent="0.25"/>
  <cols>
    <col min="1" max="1" width="6.42578125" style="200" customWidth="1"/>
    <col min="2" max="2" width="13.42578125" style="118" bestFit="1" customWidth="1"/>
    <col min="3" max="3" width="14.7109375" style="113" customWidth="1"/>
    <col min="4" max="4" width="7.42578125" style="91" customWidth="1"/>
    <col min="5" max="5" width="3.7109375" style="91" customWidth="1"/>
    <col min="6" max="6" width="8.140625" style="91" customWidth="1"/>
    <col min="7" max="7" width="6.7109375" style="91" customWidth="1"/>
    <col min="8" max="8" width="6.42578125" style="91" customWidth="1"/>
    <col min="9" max="13" width="5.7109375" style="91" customWidth="1"/>
    <col min="14" max="14" width="7.140625" style="91" customWidth="1"/>
    <col min="15" max="15" width="6.28515625" style="91" customWidth="1"/>
    <col min="16" max="16" width="7.5703125" style="91" customWidth="1"/>
    <col min="17" max="18" width="5.7109375" style="91" customWidth="1"/>
    <col min="19" max="19" width="6.5703125" style="91" customWidth="1"/>
    <col min="20" max="20" width="6.28515625" style="91" customWidth="1"/>
    <col min="21" max="21" width="5.7109375" style="91" customWidth="1"/>
    <col min="22" max="22" width="7" style="91" customWidth="1"/>
    <col min="23" max="29" width="5.7109375" style="91" customWidth="1"/>
    <col min="30" max="30" width="3.5703125" style="91" customWidth="1"/>
    <col min="31" max="32" width="8.28515625" style="91" customWidth="1"/>
    <col min="33" max="33" width="3.85546875" style="91" customWidth="1"/>
    <col min="34" max="38" width="7.7109375" style="91" customWidth="1"/>
    <col min="39" max="39" width="8.28515625" style="91" customWidth="1"/>
    <col min="41" max="52" width="9.140625" style="91"/>
    <col min="53" max="258" width="9.140625" style="92"/>
    <col min="259" max="259" width="7.7109375" style="92" customWidth="1"/>
    <col min="260" max="260" width="13.85546875" style="92" customWidth="1"/>
    <col min="261" max="262" width="9.140625" style="92"/>
    <col min="263" max="286" width="5.7109375" style="92" customWidth="1"/>
    <col min="287" max="287" width="6.42578125" style="92" customWidth="1"/>
    <col min="288" max="288" width="12" style="92" customWidth="1"/>
    <col min="289" max="514" width="9.140625" style="92"/>
    <col min="515" max="515" width="7.7109375" style="92" customWidth="1"/>
    <col min="516" max="516" width="13.85546875" style="92" customWidth="1"/>
    <col min="517" max="518" width="9.140625" style="92"/>
    <col min="519" max="542" width="5.7109375" style="92" customWidth="1"/>
    <col min="543" max="543" width="6.42578125" style="92" customWidth="1"/>
    <col min="544" max="544" width="12" style="92" customWidth="1"/>
    <col min="545" max="770" width="9.140625" style="92"/>
    <col min="771" max="771" width="7.7109375" style="92" customWidth="1"/>
    <col min="772" max="772" width="13.85546875" style="92" customWidth="1"/>
    <col min="773" max="774" width="9.140625" style="92"/>
    <col min="775" max="798" width="5.7109375" style="92" customWidth="1"/>
    <col min="799" max="799" width="6.42578125" style="92" customWidth="1"/>
    <col min="800" max="800" width="12" style="92" customWidth="1"/>
    <col min="801" max="1026" width="9.140625" style="92"/>
    <col min="1027" max="1027" width="7.7109375" style="92" customWidth="1"/>
    <col min="1028" max="1028" width="13.85546875" style="92" customWidth="1"/>
    <col min="1029" max="1030" width="9.140625" style="92"/>
    <col min="1031" max="1054" width="5.7109375" style="92" customWidth="1"/>
    <col min="1055" max="1055" width="6.42578125" style="92" customWidth="1"/>
    <col min="1056" max="1056" width="12" style="92" customWidth="1"/>
    <col min="1057" max="1282" width="9.140625" style="92"/>
    <col min="1283" max="1283" width="7.7109375" style="92" customWidth="1"/>
    <col min="1284" max="1284" width="13.85546875" style="92" customWidth="1"/>
    <col min="1285" max="1286" width="9.140625" style="92"/>
    <col min="1287" max="1310" width="5.7109375" style="92" customWidth="1"/>
    <col min="1311" max="1311" width="6.42578125" style="92" customWidth="1"/>
    <col min="1312" max="1312" width="12" style="92" customWidth="1"/>
    <col min="1313" max="1538" width="9.140625" style="92"/>
    <col min="1539" max="1539" width="7.7109375" style="92" customWidth="1"/>
    <col min="1540" max="1540" width="13.85546875" style="92" customWidth="1"/>
    <col min="1541" max="1542" width="9.140625" style="92"/>
    <col min="1543" max="1566" width="5.7109375" style="92" customWidth="1"/>
    <col min="1567" max="1567" width="6.42578125" style="92" customWidth="1"/>
    <col min="1568" max="1568" width="12" style="92" customWidth="1"/>
    <col min="1569" max="1794" width="9.140625" style="92"/>
    <col min="1795" max="1795" width="7.7109375" style="92" customWidth="1"/>
    <col min="1796" max="1796" width="13.85546875" style="92" customWidth="1"/>
    <col min="1797" max="1798" width="9.140625" style="92"/>
    <col min="1799" max="1822" width="5.7109375" style="92" customWidth="1"/>
    <col min="1823" max="1823" width="6.42578125" style="92" customWidth="1"/>
    <col min="1824" max="1824" width="12" style="92" customWidth="1"/>
    <col min="1825" max="2050" width="9.140625" style="92"/>
    <col min="2051" max="2051" width="7.7109375" style="92" customWidth="1"/>
    <col min="2052" max="2052" width="13.85546875" style="92" customWidth="1"/>
    <col min="2053" max="2054" width="9.140625" style="92"/>
    <col min="2055" max="2078" width="5.7109375" style="92" customWidth="1"/>
    <col min="2079" max="2079" width="6.42578125" style="92" customWidth="1"/>
    <col min="2080" max="2080" width="12" style="92" customWidth="1"/>
    <col min="2081" max="2306" width="9.140625" style="92"/>
    <col min="2307" max="2307" width="7.7109375" style="92" customWidth="1"/>
    <col min="2308" max="2308" width="13.85546875" style="92" customWidth="1"/>
    <col min="2309" max="2310" width="9.140625" style="92"/>
    <col min="2311" max="2334" width="5.7109375" style="92" customWidth="1"/>
    <col min="2335" max="2335" width="6.42578125" style="92" customWidth="1"/>
    <col min="2336" max="2336" width="12" style="92" customWidth="1"/>
    <col min="2337" max="2562" width="9.140625" style="92"/>
    <col min="2563" max="2563" width="7.7109375" style="92" customWidth="1"/>
    <col min="2564" max="2564" width="13.85546875" style="92" customWidth="1"/>
    <col min="2565" max="2566" width="9.140625" style="92"/>
    <col min="2567" max="2590" width="5.7109375" style="92" customWidth="1"/>
    <col min="2591" max="2591" width="6.42578125" style="92" customWidth="1"/>
    <col min="2592" max="2592" width="12" style="92" customWidth="1"/>
    <col min="2593" max="2818" width="9.140625" style="92"/>
    <col min="2819" max="2819" width="7.7109375" style="92" customWidth="1"/>
    <col min="2820" max="2820" width="13.85546875" style="92" customWidth="1"/>
    <col min="2821" max="2822" width="9.140625" style="92"/>
    <col min="2823" max="2846" width="5.7109375" style="92" customWidth="1"/>
    <col min="2847" max="2847" width="6.42578125" style="92" customWidth="1"/>
    <col min="2848" max="2848" width="12" style="92" customWidth="1"/>
    <col min="2849" max="3074" width="9.140625" style="92"/>
    <col min="3075" max="3075" width="7.7109375" style="92" customWidth="1"/>
    <col min="3076" max="3076" width="13.85546875" style="92" customWidth="1"/>
    <col min="3077" max="3078" width="9.140625" style="92"/>
    <col min="3079" max="3102" width="5.7109375" style="92" customWidth="1"/>
    <col min="3103" max="3103" width="6.42578125" style="92" customWidth="1"/>
    <col min="3104" max="3104" width="12" style="92" customWidth="1"/>
    <col min="3105" max="3330" width="9.140625" style="92"/>
    <col min="3331" max="3331" width="7.7109375" style="92" customWidth="1"/>
    <col min="3332" max="3332" width="13.85546875" style="92" customWidth="1"/>
    <col min="3333" max="3334" width="9.140625" style="92"/>
    <col min="3335" max="3358" width="5.7109375" style="92" customWidth="1"/>
    <col min="3359" max="3359" width="6.42578125" style="92" customWidth="1"/>
    <col min="3360" max="3360" width="12" style="92" customWidth="1"/>
    <col min="3361" max="3586" width="9.140625" style="92"/>
    <col min="3587" max="3587" width="7.7109375" style="92" customWidth="1"/>
    <col min="3588" max="3588" width="13.85546875" style="92" customWidth="1"/>
    <col min="3589" max="3590" width="9.140625" style="92"/>
    <col min="3591" max="3614" width="5.7109375" style="92" customWidth="1"/>
    <col min="3615" max="3615" width="6.42578125" style="92" customWidth="1"/>
    <col min="3616" max="3616" width="12" style="92" customWidth="1"/>
    <col min="3617" max="3842" width="9.140625" style="92"/>
    <col min="3843" max="3843" width="7.7109375" style="92" customWidth="1"/>
    <col min="3844" max="3844" width="13.85546875" style="92" customWidth="1"/>
    <col min="3845" max="3846" width="9.140625" style="92"/>
    <col min="3847" max="3870" width="5.7109375" style="92" customWidth="1"/>
    <col min="3871" max="3871" width="6.42578125" style="92" customWidth="1"/>
    <col min="3872" max="3872" width="12" style="92" customWidth="1"/>
    <col min="3873" max="4098" width="9.140625" style="92"/>
    <col min="4099" max="4099" width="7.7109375" style="92" customWidth="1"/>
    <col min="4100" max="4100" width="13.85546875" style="92" customWidth="1"/>
    <col min="4101" max="4102" width="9.140625" style="92"/>
    <col min="4103" max="4126" width="5.7109375" style="92" customWidth="1"/>
    <col min="4127" max="4127" width="6.42578125" style="92" customWidth="1"/>
    <col min="4128" max="4128" width="12" style="92" customWidth="1"/>
    <col min="4129" max="4354" width="9.140625" style="92"/>
    <col min="4355" max="4355" width="7.7109375" style="92" customWidth="1"/>
    <col min="4356" max="4356" width="13.85546875" style="92" customWidth="1"/>
    <col min="4357" max="4358" width="9.140625" style="92"/>
    <col min="4359" max="4382" width="5.7109375" style="92" customWidth="1"/>
    <col min="4383" max="4383" width="6.42578125" style="92" customWidth="1"/>
    <col min="4384" max="4384" width="12" style="92" customWidth="1"/>
    <col min="4385" max="4610" width="9.140625" style="92"/>
    <col min="4611" max="4611" width="7.7109375" style="92" customWidth="1"/>
    <col min="4612" max="4612" width="13.85546875" style="92" customWidth="1"/>
    <col min="4613" max="4614" width="9.140625" style="92"/>
    <col min="4615" max="4638" width="5.7109375" style="92" customWidth="1"/>
    <col min="4639" max="4639" width="6.42578125" style="92" customWidth="1"/>
    <col min="4640" max="4640" width="12" style="92" customWidth="1"/>
    <col min="4641" max="4866" width="9.140625" style="92"/>
    <col min="4867" max="4867" width="7.7109375" style="92" customWidth="1"/>
    <col min="4868" max="4868" width="13.85546875" style="92" customWidth="1"/>
    <col min="4869" max="4870" width="9.140625" style="92"/>
    <col min="4871" max="4894" width="5.7109375" style="92" customWidth="1"/>
    <col min="4895" max="4895" width="6.42578125" style="92" customWidth="1"/>
    <col min="4896" max="4896" width="12" style="92" customWidth="1"/>
    <col min="4897" max="5122" width="9.140625" style="92"/>
    <col min="5123" max="5123" width="7.7109375" style="92" customWidth="1"/>
    <col min="5124" max="5124" width="13.85546875" style="92" customWidth="1"/>
    <col min="5125" max="5126" width="9.140625" style="92"/>
    <col min="5127" max="5150" width="5.7109375" style="92" customWidth="1"/>
    <col min="5151" max="5151" width="6.42578125" style="92" customWidth="1"/>
    <col min="5152" max="5152" width="12" style="92" customWidth="1"/>
    <col min="5153" max="5378" width="9.140625" style="92"/>
    <col min="5379" max="5379" width="7.7109375" style="92" customWidth="1"/>
    <col min="5380" max="5380" width="13.85546875" style="92" customWidth="1"/>
    <col min="5381" max="5382" width="9.140625" style="92"/>
    <col min="5383" max="5406" width="5.7109375" style="92" customWidth="1"/>
    <col min="5407" max="5407" width="6.42578125" style="92" customWidth="1"/>
    <col min="5408" max="5408" width="12" style="92" customWidth="1"/>
    <col min="5409" max="5634" width="9.140625" style="92"/>
    <col min="5635" max="5635" width="7.7109375" style="92" customWidth="1"/>
    <col min="5636" max="5636" width="13.85546875" style="92" customWidth="1"/>
    <col min="5637" max="5638" width="9.140625" style="92"/>
    <col min="5639" max="5662" width="5.7109375" style="92" customWidth="1"/>
    <col min="5663" max="5663" width="6.42578125" style="92" customWidth="1"/>
    <col min="5664" max="5664" width="12" style="92" customWidth="1"/>
    <col min="5665" max="5890" width="9.140625" style="92"/>
    <col min="5891" max="5891" width="7.7109375" style="92" customWidth="1"/>
    <col min="5892" max="5892" width="13.85546875" style="92" customWidth="1"/>
    <col min="5893" max="5894" width="9.140625" style="92"/>
    <col min="5895" max="5918" width="5.7109375" style="92" customWidth="1"/>
    <col min="5919" max="5919" width="6.42578125" style="92" customWidth="1"/>
    <col min="5920" max="5920" width="12" style="92" customWidth="1"/>
    <col min="5921" max="6146" width="9.140625" style="92"/>
    <col min="6147" max="6147" width="7.7109375" style="92" customWidth="1"/>
    <col min="6148" max="6148" width="13.85546875" style="92" customWidth="1"/>
    <col min="6149" max="6150" width="9.140625" style="92"/>
    <col min="6151" max="6174" width="5.7109375" style="92" customWidth="1"/>
    <col min="6175" max="6175" width="6.42578125" style="92" customWidth="1"/>
    <col min="6176" max="6176" width="12" style="92" customWidth="1"/>
    <col min="6177" max="6402" width="9.140625" style="92"/>
    <col min="6403" max="6403" width="7.7109375" style="92" customWidth="1"/>
    <col min="6404" max="6404" width="13.85546875" style="92" customWidth="1"/>
    <col min="6405" max="6406" width="9.140625" style="92"/>
    <col min="6407" max="6430" width="5.7109375" style="92" customWidth="1"/>
    <col min="6431" max="6431" width="6.42578125" style="92" customWidth="1"/>
    <col min="6432" max="6432" width="12" style="92" customWidth="1"/>
    <col min="6433" max="6658" width="9.140625" style="92"/>
    <col min="6659" max="6659" width="7.7109375" style="92" customWidth="1"/>
    <col min="6660" max="6660" width="13.85546875" style="92" customWidth="1"/>
    <col min="6661" max="6662" width="9.140625" style="92"/>
    <col min="6663" max="6686" width="5.7109375" style="92" customWidth="1"/>
    <col min="6687" max="6687" width="6.42578125" style="92" customWidth="1"/>
    <col min="6688" max="6688" width="12" style="92" customWidth="1"/>
    <col min="6689" max="6914" width="9.140625" style="92"/>
    <col min="6915" max="6915" width="7.7109375" style="92" customWidth="1"/>
    <col min="6916" max="6916" width="13.85546875" style="92" customWidth="1"/>
    <col min="6917" max="6918" width="9.140625" style="92"/>
    <col min="6919" max="6942" width="5.7109375" style="92" customWidth="1"/>
    <col min="6943" max="6943" width="6.42578125" style="92" customWidth="1"/>
    <col min="6944" max="6944" width="12" style="92" customWidth="1"/>
    <col min="6945" max="7170" width="9.140625" style="92"/>
    <col min="7171" max="7171" width="7.7109375" style="92" customWidth="1"/>
    <col min="7172" max="7172" width="13.85546875" style="92" customWidth="1"/>
    <col min="7173" max="7174" width="9.140625" style="92"/>
    <col min="7175" max="7198" width="5.7109375" style="92" customWidth="1"/>
    <col min="7199" max="7199" width="6.42578125" style="92" customWidth="1"/>
    <col min="7200" max="7200" width="12" style="92" customWidth="1"/>
    <col min="7201" max="7426" width="9.140625" style="92"/>
    <col min="7427" max="7427" width="7.7109375" style="92" customWidth="1"/>
    <col min="7428" max="7428" width="13.85546875" style="92" customWidth="1"/>
    <col min="7429" max="7430" width="9.140625" style="92"/>
    <col min="7431" max="7454" width="5.7109375" style="92" customWidth="1"/>
    <col min="7455" max="7455" width="6.42578125" style="92" customWidth="1"/>
    <col min="7456" max="7456" width="12" style="92" customWidth="1"/>
    <col min="7457" max="7682" width="9.140625" style="92"/>
    <col min="7683" max="7683" width="7.7109375" style="92" customWidth="1"/>
    <col min="7684" max="7684" width="13.85546875" style="92" customWidth="1"/>
    <col min="7685" max="7686" width="9.140625" style="92"/>
    <col min="7687" max="7710" width="5.7109375" style="92" customWidth="1"/>
    <col min="7711" max="7711" width="6.42578125" style="92" customWidth="1"/>
    <col min="7712" max="7712" width="12" style="92" customWidth="1"/>
    <col min="7713" max="7938" width="9.140625" style="92"/>
    <col min="7939" max="7939" width="7.7109375" style="92" customWidth="1"/>
    <col min="7940" max="7940" width="13.85546875" style="92" customWidth="1"/>
    <col min="7941" max="7942" width="9.140625" style="92"/>
    <col min="7943" max="7966" width="5.7109375" style="92" customWidth="1"/>
    <col min="7967" max="7967" width="6.42578125" style="92" customWidth="1"/>
    <col min="7968" max="7968" width="12" style="92" customWidth="1"/>
    <col min="7969" max="8194" width="9.140625" style="92"/>
    <col min="8195" max="8195" width="7.7109375" style="92" customWidth="1"/>
    <col min="8196" max="8196" width="13.85546875" style="92" customWidth="1"/>
    <col min="8197" max="8198" width="9.140625" style="92"/>
    <col min="8199" max="8222" width="5.7109375" style="92" customWidth="1"/>
    <col min="8223" max="8223" width="6.42578125" style="92" customWidth="1"/>
    <col min="8224" max="8224" width="12" style="92" customWidth="1"/>
    <col min="8225" max="8450" width="9.140625" style="92"/>
    <col min="8451" max="8451" width="7.7109375" style="92" customWidth="1"/>
    <col min="8452" max="8452" width="13.85546875" style="92" customWidth="1"/>
    <col min="8453" max="8454" width="9.140625" style="92"/>
    <col min="8455" max="8478" width="5.7109375" style="92" customWidth="1"/>
    <col min="8479" max="8479" width="6.42578125" style="92" customWidth="1"/>
    <col min="8480" max="8480" width="12" style="92" customWidth="1"/>
    <col min="8481" max="8706" width="9.140625" style="92"/>
    <col min="8707" max="8707" width="7.7109375" style="92" customWidth="1"/>
    <col min="8708" max="8708" width="13.85546875" style="92" customWidth="1"/>
    <col min="8709" max="8710" width="9.140625" style="92"/>
    <col min="8711" max="8734" width="5.7109375" style="92" customWidth="1"/>
    <col min="8735" max="8735" width="6.42578125" style="92" customWidth="1"/>
    <col min="8736" max="8736" width="12" style="92" customWidth="1"/>
    <col min="8737" max="8962" width="9.140625" style="92"/>
    <col min="8963" max="8963" width="7.7109375" style="92" customWidth="1"/>
    <col min="8964" max="8964" width="13.85546875" style="92" customWidth="1"/>
    <col min="8965" max="8966" width="9.140625" style="92"/>
    <col min="8967" max="8990" width="5.7109375" style="92" customWidth="1"/>
    <col min="8991" max="8991" width="6.42578125" style="92" customWidth="1"/>
    <col min="8992" max="8992" width="12" style="92" customWidth="1"/>
    <col min="8993" max="9218" width="9.140625" style="92"/>
    <col min="9219" max="9219" width="7.7109375" style="92" customWidth="1"/>
    <col min="9220" max="9220" width="13.85546875" style="92" customWidth="1"/>
    <col min="9221" max="9222" width="9.140625" style="92"/>
    <col min="9223" max="9246" width="5.7109375" style="92" customWidth="1"/>
    <col min="9247" max="9247" width="6.42578125" style="92" customWidth="1"/>
    <col min="9248" max="9248" width="12" style="92" customWidth="1"/>
    <col min="9249" max="9474" width="9.140625" style="92"/>
    <col min="9475" max="9475" width="7.7109375" style="92" customWidth="1"/>
    <col min="9476" max="9476" width="13.85546875" style="92" customWidth="1"/>
    <col min="9477" max="9478" width="9.140625" style="92"/>
    <col min="9479" max="9502" width="5.7109375" style="92" customWidth="1"/>
    <col min="9503" max="9503" width="6.42578125" style="92" customWidth="1"/>
    <col min="9504" max="9504" width="12" style="92" customWidth="1"/>
    <col min="9505" max="9730" width="9.140625" style="92"/>
    <col min="9731" max="9731" width="7.7109375" style="92" customWidth="1"/>
    <col min="9732" max="9732" width="13.85546875" style="92" customWidth="1"/>
    <col min="9733" max="9734" width="9.140625" style="92"/>
    <col min="9735" max="9758" width="5.7109375" style="92" customWidth="1"/>
    <col min="9759" max="9759" width="6.42578125" style="92" customWidth="1"/>
    <col min="9760" max="9760" width="12" style="92" customWidth="1"/>
    <col min="9761" max="9986" width="9.140625" style="92"/>
    <col min="9987" max="9987" width="7.7109375" style="92" customWidth="1"/>
    <col min="9988" max="9988" width="13.85546875" style="92" customWidth="1"/>
    <col min="9989" max="9990" width="9.140625" style="92"/>
    <col min="9991" max="10014" width="5.7109375" style="92" customWidth="1"/>
    <col min="10015" max="10015" width="6.42578125" style="92" customWidth="1"/>
    <col min="10016" max="10016" width="12" style="92" customWidth="1"/>
    <col min="10017" max="10242" width="9.140625" style="92"/>
    <col min="10243" max="10243" width="7.7109375" style="92" customWidth="1"/>
    <col min="10244" max="10244" width="13.85546875" style="92" customWidth="1"/>
    <col min="10245" max="10246" width="9.140625" style="92"/>
    <col min="10247" max="10270" width="5.7109375" style="92" customWidth="1"/>
    <col min="10271" max="10271" width="6.42578125" style="92" customWidth="1"/>
    <col min="10272" max="10272" width="12" style="92" customWidth="1"/>
    <col min="10273" max="10498" width="9.140625" style="92"/>
    <col min="10499" max="10499" width="7.7109375" style="92" customWidth="1"/>
    <col min="10500" max="10500" width="13.85546875" style="92" customWidth="1"/>
    <col min="10501" max="10502" width="9.140625" style="92"/>
    <col min="10503" max="10526" width="5.7109375" style="92" customWidth="1"/>
    <col min="10527" max="10527" width="6.42578125" style="92" customWidth="1"/>
    <col min="10528" max="10528" width="12" style="92" customWidth="1"/>
    <col min="10529" max="10754" width="9.140625" style="92"/>
    <col min="10755" max="10755" width="7.7109375" style="92" customWidth="1"/>
    <col min="10756" max="10756" width="13.85546875" style="92" customWidth="1"/>
    <col min="10757" max="10758" width="9.140625" style="92"/>
    <col min="10759" max="10782" width="5.7109375" style="92" customWidth="1"/>
    <col min="10783" max="10783" width="6.42578125" style="92" customWidth="1"/>
    <col min="10784" max="10784" width="12" style="92" customWidth="1"/>
    <col min="10785" max="11010" width="9.140625" style="92"/>
    <col min="11011" max="11011" width="7.7109375" style="92" customWidth="1"/>
    <col min="11012" max="11012" width="13.85546875" style="92" customWidth="1"/>
    <col min="11013" max="11014" width="9.140625" style="92"/>
    <col min="11015" max="11038" width="5.7109375" style="92" customWidth="1"/>
    <col min="11039" max="11039" width="6.42578125" style="92" customWidth="1"/>
    <col min="11040" max="11040" width="12" style="92" customWidth="1"/>
    <col min="11041" max="11266" width="9.140625" style="92"/>
    <col min="11267" max="11267" width="7.7109375" style="92" customWidth="1"/>
    <col min="11268" max="11268" width="13.85546875" style="92" customWidth="1"/>
    <col min="11269" max="11270" width="9.140625" style="92"/>
    <col min="11271" max="11294" width="5.7109375" style="92" customWidth="1"/>
    <col min="11295" max="11295" width="6.42578125" style="92" customWidth="1"/>
    <col min="11296" max="11296" width="12" style="92" customWidth="1"/>
    <col min="11297" max="11522" width="9.140625" style="92"/>
    <col min="11523" max="11523" width="7.7109375" style="92" customWidth="1"/>
    <col min="11524" max="11524" width="13.85546875" style="92" customWidth="1"/>
    <col min="11525" max="11526" width="9.140625" style="92"/>
    <col min="11527" max="11550" width="5.7109375" style="92" customWidth="1"/>
    <col min="11551" max="11551" width="6.42578125" style="92" customWidth="1"/>
    <col min="11552" max="11552" width="12" style="92" customWidth="1"/>
    <col min="11553" max="11778" width="9.140625" style="92"/>
    <col min="11779" max="11779" width="7.7109375" style="92" customWidth="1"/>
    <col min="11780" max="11780" width="13.85546875" style="92" customWidth="1"/>
    <col min="11781" max="11782" width="9.140625" style="92"/>
    <col min="11783" max="11806" width="5.7109375" style="92" customWidth="1"/>
    <col min="11807" max="11807" width="6.42578125" style="92" customWidth="1"/>
    <col min="11808" max="11808" width="12" style="92" customWidth="1"/>
    <col min="11809" max="12034" width="9.140625" style="92"/>
    <col min="12035" max="12035" width="7.7109375" style="92" customWidth="1"/>
    <col min="12036" max="12036" width="13.85546875" style="92" customWidth="1"/>
    <col min="12037" max="12038" width="9.140625" style="92"/>
    <col min="12039" max="12062" width="5.7109375" style="92" customWidth="1"/>
    <col min="12063" max="12063" width="6.42578125" style="92" customWidth="1"/>
    <col min="12064" max="12064" width="12" style="92" customWidth="1"/>
    <col min="12065" max="12290" width="9.140625" style="92"/>
    <col min="12291" max="12291" width="7.7109375" style="92" customWidth="1"/>
    <col min="12292" max="12292" width="13.85546875" style="92" customWidth="1"/>
    <col min="12293" max="12294" width="9.140625" style="92"/>
    <col min="12295" max="12318" width="5.7109375" style="92" customWidth="1"/>
    <col min="12319" max="12319" width="6.42578125" style="92" customWidth="1"/>
    <col min="12320" max="12320" width="12" style="92" customWidth="1"/>
    <col min="12321" max="12546" width="9.140625" style="92"/>
    <col min="12547" max="12547" width="7.7109375" style="92" customWidth="1"/>
    <col min="12548" max="12548" width="13.85546875" style="92" customWidth="1"/>
    <col min="12549" max="12550" width="9.140625" style="92"/>
    <col min="12551" max="12574" width="5.7109375" style="92" customWidth="1"/>
    <col min="12575" max="12575" width="6.42578125" style="92" customWidth="1"/>
    <col min="12576" max="12576" width="12" style="92" customWidth="1"/>
    <col min="12577" max="12802" width="9.140625" style="92"/>
    <col min="12803" max="12803" width="7.7109375" style="92" customWidth="1"/>
    <col min="12804" max="12804" width="13.85546875" style="92" customWidth="1"/>
    <col min="12805" max="12806" width="9.140625" style="92"/>
    <col min="12807" max="12830" width="5.7109375" style="92" customWidth="1"/>
    <col min="12831" max="12831" width="6.42578125" style="92" customWidth="1"/>
    <col min="12832" max="12832" width="12" style="92" customWidth="1"/>
    <col min="12833" max="13058" width="9.140625" style="92"/>
    <col min="13059" max="13059" width="7.7109375" style="92" customWidth="1"/>
    <col min="13060" max="13060" width="13.85546875" style="92" customWidth="1"/>
    <col min="13061" max="13062" width="9.140625" style="92"/>
    <col min="13063" max="13086" width="5.7109375" style="92" customWidth="1"/>
    <col min="13087" max="13087" width="6.42578125" style="92" customWidth="1"/>
    <col min="13088" max="13088" width="12" style="92" customWidth="1"/>
    <col min="13089" max="13314" width="9.140625" style="92"/>
    <col min="13315" max="13315" width="7.7109375" style="92" customWidth="1"/>
    <col min="13316" max="13316" width="13.85546875" style="92" customWidth="1"/>
    <col min="13317" max="13318" width="9.140625" style="92"/>
    <col min="13319" max="13342" width="5.7109375" style="92" customWidth="1"/>
    <col min="13343" max="13343" width="6.42578125" style="92" customWidth="1"/>
    <col min="13344" max="13344" width="12" style="92" customWidth="1"/>
    <col min="13345" max="13570" width="9.140625" style="92"/>
    <col min="13571" max="13571" width="7.7109375" style="92" customWidth="1"/>
    <col min="13572" max="13572" width="13.85546875" style="92" customWidth="1"/>
    <col min="13573" max="13574" width="9.140625" style="92"/>
    <col min="13575" max="13598" width="5.7109375" style="92" customWidth="1"/>
    <col min="13599" max="13599" width="6.42578125" style="92" customWidth="1"/>
    <col min="13600" max="13600" width="12" style="92" customWidth="1"/>
    <col min="13601" max="13826" width="9.140625" style="92"/>
    <col min="13827" max="13827" width="7.7109375" style="92" customWidth="1"/>
    <col min="13828" max="13828" width="13.85546875" style="92" customWidth="1"/>
    <col min="13829" max="13830" width="9.140625" style="92"/>
    <col min="13831" max="13854" width="5.7109375" style="92" customWidth="1"/>
    <col min="13855" max="13855" width="6.42578125" style="92" customWidth="1"/>
    <col min="13856" max="13856" width="12" style="92" customWidth="1"/>
    <col min="13857" max="14082" width="9.140625" style="92"/>
    <col min="14083" max="14083" width="7.7109375" style="92" customWidth="1"/>
    <col min="14084" max="14084" width="13.85546875" style="92" customWidth="1"/>
    <col min="14085" max="14086" width="9.140625" style="92"/>
    <col min="14087" max="14110" width="5.7109375" style="92" customWidth="1"/>
    <col min="14111" max="14111" width="6.42578125" style="92" customWidth="1"/>
    <col min="14112" max="14112" width="12" style="92" customWidth="1"/>
    <col min="14113" max="14338" width="9.140625" style="92"/>
    <col min="14339" max="14339" width="7.7109375" style="92" customWidth="1"/>
    <col min="14340" max="14340" width="13.85546875" style="92" customWidth="1"/>
    <col min="14341" max="14342" width="9.140625" style="92"/>
    <col min="14343" max="14366" width="5.7109375" style="92" customWidth="1"/>
    <col min="14367" max="14367" width="6.42578125" style="92" customWidth="1"/>
    <col min="14368" max="14368" width="12" style="92" customWidth="1"/>
    <col min="14369" max="14594" width="9.140625" style="92"/>
    <col min="14595" max="14595" width="7.7109375" style="92" customWidth="1"/>
    <col min="14596" max="14596" width="13.85546875" style="92" customWidth="1"/>
    <col min="14597" max="14598" width="9.140625" style="92"/>
    <col min="14599" max="14622" width="5.7109375" style="92" customWidth="1"/>
    <col min="14623" max="14623" width="6.42578125" style="92" customWidth="1"/>
    <col min="14624" max="14624" width="12" style="92" customWidth="1"/>
    <col min="14625" max="14850" width="9.140625" style="92"/>
    <col min="14851" max="14851" width="7.7109375" style="92" customWidth="1"/>
    <col min="14852" max="14852" width="13.85546875" style="92" customWidth="1"/>
    <col min="14853" max="14854" width="9.140625" style="92"/>
    <col min="14855" max="14878" width="5.7109375" style="92" customWidth="1"/>
    <col min="14879" max="14879" width="6.42578125" style="92" customWidth="1"/>
    <col min="14880" max="14880" width="12" style="92" customWidth="1"/>
    <col min="14881" max="15106" width="9.140625" style="92"/>
    <col min="15107" max="15107" width="7.7109375" style="92" customWidth="1"/>
    <col min="15108" max="15108" width="13.85546875" style="92" customWidth="1"/>
    <col min="15109" max="15110" width="9.140625" style="92"/>
    <col min="15111" max="15134" width="5.7109375" style="92" customWidth="1"/>
    <col min="15135" max="15135" width="6.42578125" style="92" customWidth="1"/>
    <col min="15136" max="15136" width="12" style="92" customWidth="1"/>
    <col min="15137" max="15362" width="9.140625" style="92"/>
    <col min="15363" max="15363" width="7.7109375" style="92" customWidth="1"/>
    <col min="15364" max="15364" width="13.85546875" style="92" customWidth="1"/>
    <col min="15365" max="15366" width="9.140625" style="92"/>
    <col min="15367" max="15390" width="5.7109375" style="92" customWidth="1"/>
    <col min="15391" max="15391" width="6.42578125" style="92" customWidth="1"/>
    <col min="15392" max="15392" width="12" style="92" customWidth="1"/>
    <col min="15393" max="15618" width="9.140625" style="92"/>
    <col min="15619" max="15619" width="7.7109375" style="92" customWidth="1"/>
    <col min="15620" max="15620" width="13.85546875" style="92" customWidth="1"/>
    <col min="15621" max="15622" width="9.140625" style="92"/>
    <col min="15623" max="15646" width="5.7109375" style="92" customWidth="1"/>
    <col min="15647" max="15647" width="6.42578125" style="92" customWidth="1"/>
    <col min="15648" max="15648" width="12" style="92" customWidth="1"/>
    <col min="15649" max="15874" width="9.140625" style="92"/>
    <col min="15875" max="15875" width="7.7109375" style="92" customWidth="1"/>
    <col min="15876" max="15876" width="13.85546875" style="92" customWidth="1"/>
    <col min="15877" max="15878" width="9.140625" style="92"/>
    <col min="15879" max="15902" width="5.7109375" style="92" customWidth="1"/>
    <col min="15903" max="15903" width="6.42578125" style="92" customWidth="1"/>
    <col min="15904" max="15904" width="12" style="92" customWidth="1"/>
    <col min="15905" max="16130" width="9.140625" style="92"/>
    <col min="16131" max="16131" width="7.7109375" style="92" customWidth="1"/>
    <col min="16132" max="16132" width="13.85546875" style="92" customWidth="1"/>
    <col min="16133" max="16134" width="9.140625" style="92"/>
    <col min="16135" max="16158" width="5.7109375" style="92" customWidth="1"/>
    <col min="16159" max="16159" width="6.42578125" style="92" customWidth="1"/>
    <col min="16160" max="16160" width="12" style="92" customWidth="1"/>
    <col min="16161" max="16384" width="9.140625" style="92"/>
  </cols>
  <sheetData>
    <row r="1" spans="1:39" ht="21.75" customHeight="1" x14ac:dyDescent="0.25">
      <c r="C1" s="280" t="s">
        <v>215</v>
      </c>
      <c r="D1" s="280"/>
      <c r="E1" s="113"/>
      <c r="F1" s="279" t="s">
        <v>379</v>
      </c>
      <c r="G1" s="279"/>
      <c r="H1" s="279"/>
      <c r="I1" s="279"/>
      <c r="J1" s="279"/>
      <c r="K1" s="279"/>
      <c r="L1" s="279"/>
      <c r="M1" s="279"/>
      <c r="N1" s="279"/>
      <c r="O1" s="279"/>
      <c r="P1" s="279"/>
      <c r="Q1" s="279"/>
      <c r="R1" s="279"/>
      <c r="S1" s="279"/>
      <c r="T1" s="279"/>
      <c r="U1" s="279"/>
      <c r="V1" s="279"/>
      <c r="W1" s="279"/>
      <c r="X1" s="279"/>
      <c r="Y1" s="279"/>
      <c r="Z1" s="279"/>
      <c r="AA1" s="279"/>
      <c r="AB1" s="279"/>
      <c r="AC1" s="279"/>
      <c r="AH1" s="278" t="s">
        <v>217</v>
      </c>
      <c r="AI1" s="278"/>
      <c r="AJ1" s="278"/>
      <c r="AK1" s="278"/>
      <c r="AL1" s="278"/>
      <c r="AM1" s="278"/>
    </row>
    <row r="2" spans="1:39" ht="36" customHeight="1" x14ac:dyDescent="0.25">
      <c r="A2" s="218" t="s">
        <v>52</v>
      </c>
      <c r="B2" s="219" t="e">
        <f>AF3/AE3</f>
        <v>#N/A</v>
      </c>
      <c r="C2" s="275" t="s">
        <v>382</v>
      </c>
      <c r="D2" s="272"/>
      <c r="E2" s="114"/>
      <c r="F2" s="116">
        <v>0.375</v>
      </c>
      <c r="G2" s="116">
        <v>0.41666666666666669</v>
      </c>
      <c r="H2" s="116">
        <v>0.45833333333333398</v>
      </c>
      <c r="I2" s="117" t="s">
        <v>27</v>
      </c>
      <c r="J2" s="116">
        <v>0.54166666666666663</v>
      </c>
      <c r="K2" s="116">
        <v>0.58333333333333304</v>
      </c>
      <c r="L2" s="116">
        <v>0.625</v>
      </c>
      <c r="M2" s="116">
        <v>0.66666666666666696</v>
      </c>
      <c r="N2" s="116">
        <v>0.70833333333333404</v>
      </c>
      <c r="O2" s="116">
        <v>0.750000000000001</v>
      </c>
      <c r="P2" s="116">
        <v>0.79166666666666796</v>
      </c>
      <c r="Q2" s="116">
        <v>0.83333333333333404</v>
      </c>
      <c r="R2" s="116">
        <v>0.875000000000001</v>
      </c>
      <c r="S2" s="116">
        <v>0.91666666666666696</v>
      </c>
      <c r="T2" s="116">
        <v>0.95833333333333404</v>
      </c>
      <c r="U2" s="117" t="s">
        <v>28</v>
      </c>
      <c r="V2" s="116">
        <v>4.1666666666666664E-2</v>
      </c>
      <c r="W2" s="116">
        <v>8.3333333333333301E-2</v>
      </c>
      <c r="X2" s="116">
        <v>0.125</v>
      </c>
      <c r="Y2" s="116">
        <v>0.16666666666666699</v>
      </c>
      <c r="Z2" s="116">
        <v>0.20833333333333301</v>
      </c>
      <c r="AA2" s="116">
        <v>0.25</v>
      </c>
      <c r="AB2" s="116">
        <v>0.29166666666666669</v>
      </c>
      <c r="AC2" s="116">
        <v>0.33333333333333331</v>
      </c>
      <c r="AD2" s="94"/>
      <c r="AE2" s="212" t="s">
        <v>213</v>
      </c>
      <c r="AF2" s="102" t="s">
        <v>29</v>
      </c>
      <c r="AG2" s="100"/>
      <c r="AH2" s="211" t="s">
        <v>9</v>
      </c>
      <c r="AI2" s="208">
        <v>0.58333333333333304</v>
      </c>
      <c r="AJ2" s="208">
        <v>0.83333333333333404</v>
      </c>
      <c r="AK2" s="208">
        <v>8.3333333333333301E-2</v>
      </c>
      <c r="AL2" s="209">
        <v>0.33333333333333331</v>
      </c>
      <c r="AM2" s="210" t="s">
        <v>29</v>
      </c>
    </row>
    <row r="3" spans="1:39" ht="24.75" customHeight="1" x14ac:dyDescent="0.25">
      <c r="A3" s="201" t="s">
        <v>53</v>
      </c>
      <c r="B3" s="199" t="s">
        <v>54</v>
      </c>
      <c r="C3" s="115" t="s">
        <v>212</v>
      </c>
      <c r="D3" s="93"/>
      <c r="E3" s="93"/>
      <c r="F3" s="229">
        <f>C10</f>
        <v>0</v>
      </c>
      <c r="G3" s="229">
        <f>C16</f>
        <v>0</v>
      </c>
      <c r="H3" s="229">
        <f>C22</f>
        <v>0</v>
      </c>
      <c r="I3" s="229">
        <f>C28</f>
        <v>0</v>
      </c>
      <c r="J3" s="229">
        <f>C34</f>
        <v>0</v>
      </c>
      <c r="K3" s="229">
        <f>C40</f>
        <v>0</v>
      </c>
      <c r="L3" s="229">
        <f>C46</f>
        <v>0</v>
      </c>
      <c r="M3" s="229">
        <f>C52</f>
        <v>0</v>
      </c>
      <c r="N3" s="229">
        <f>C58</f>
        <v>0</v>
      </c>
      <c r="O3" s="229">
        <f>C64</f>
        <v>0</v>
      </c>
      <c r="P3" s="229">
        <f>C70</f>
        <v>0</v>
      </c>
      <c r="Q3" s="229">
        <f>C76</f>
        <v>0</v>
      </c>
      <c r="R3" s="229">
        <f>C82</f>
        <v>0</v>
      </c>
      <c r="S3" s="229">
        <f>C88</f>
        <v>0</v>
      </c>
      <c r="T3" s="229">
        <f>C94</f>
        <v>0</v>
      </c>
      <c r="U3" s="229">
        <f>C100</f>
        <v>0</v>
      </c>
      <c r="V3" s="229">
        <f>C106</f>
        <v>0</v>
      </c>
      <c r="W3" s="229">
        <f>C112</f>
        <v>0</v>
      </c>
      <c r="X3" s="229">
        <f>C118</f>
        <v>0</v>
      </c>
      <c r="Y3" s="229">
        <f>C124</f>
        <v>0</v>
      </c>
      <c r="Z3" s="229">
        <f>C130</f>
        <v>0</v>
      </c>
      <c r="AA3" s="229">
        <f>C136</f>
        <v>0</v>
      </c>
      <c r="AB3" s="229">
        <f>C142</f>
        <v>0</v>
      </c>
      <c r="AC3" s="229">
        <f>C148</f>
        <v>0</v>
      </c>
      <c r="AD3" s="118"/>
      <c r="AE3" s="213">
        <f>SUM(F3:AC3)</f>
        <v>0</v>
      </c>
      <c r="AF3" s="214" t="e">
        <f>VLOOKUP(D2,AH3:AM33,6)</f>
        <v>#N/A</v>
      </c>
      <c r="AG3" s="101"/>
      <c r="AH3" s="121">
        <v>1</v>
      </c>
      <c r="AI3" s="265"/>
      <c r="AJ3" s="265"/>
      <c r="AK3" s="265"/>
      <c r="AL3" s="265"/>
      <c r="AM3" s="215">
        <f>SUM(AI3:AL3)</f>
        <v>0</v>
      </c>
    </row>
    <row r="4" spans="1:39" ht="13.5" customHeight="1" x14ac:dyDescent="0.25">
      <c r="A4" s="217" t="s">
        <v>55</v>
      </c>
      <c r="B4" s="248"/>
      <c r="C4" s="204">
        <f>B4</f>
        <v>0</v>
      </c>
      <c r="AH4" s="121">
        <v>2</v>
      </c>
      <c r="AI4" s="265"/>
      <c r="AJ4" s="265"/>
      <c r="AK4" s="265"/>
      <c r="AL4" s="265"/>
      <c r="AM4" s="215">
        <f t="shared" ref="AM4:AM33" si="0">SUM(AI4:AL4)</f>
        <v>0</v>
      </c>
    </row>
    <row r="5" spans="1:39" x14ac:dyDescent="0.25">
      <c r="A5" s="202" t="s">
        <v>56</v>
      </c>
      <c r="B5" s="248"/>
      <c r="C5" s="205"/>
      <c r="AH5" s="121">
        <v>3</v>
      </c>
      <c r="AI5" s="265"/>
      <c r="AJ5" s="265"/>
      <c r="AK5" s="265"/>
      <c r="AL5" s="265"/>
      <c r="AM5" s="215">
        <f t="shared" si="0"/>
        <v>0</v>
      </c>
    </row>
    <row r="6" spans="1:39" x14ac:dyDescent="0.25">
      <c r="A6" s="202" t="s">
        <v>57</v>
      </c>
      <c r="B6" s="248"/>
      <c r="C6" s="205"/>
      <c r="AH6" s="121">
        <v>4</v>
      </c>
      <c r="AI6" s="265"/>
      <c r="AJ6" s="265"/>
      <c r="AK6" s="265"/>
      <c r="AL6" s="265"/>
      <c r="AM6" s="215">
        <f t="shared" si="0"/>
        <v>0</v>
      </c>
    </row>
    <row r="7" spans="1:39" x14ac:dyDescent="0.25">
      <c r="A7" s="202" t="s">
        <v>58</v>
      </c>
      <c r="B7" s="248"/>
      <c r="C7" s="205"/>
      <c r="AH7" s="121">
        <v>5</v>
      </c>
      <c r="AI7" s="265"/>
      <c r="AJ7" s="265"/>
      <c r="AK7" s="265"/>
      <c r="AL7" s="265"/>
      <c r="AM7" s="215">
        <f t="shared" si="0"/>
        <v>0</v>
      </c>
    </row>
    <row r="8" spans="1:39" x14ac:dyDescent="0.25">
      <c r="A8" s="202" t="s">
        <v>59</v>
      </c>
      <c r="B8" s="248"/>
      <c r="C8" s="205"/>
      <c r="AH8" s="121">
        <v>6</v>
      </c>
      <c r="AI8" s="265"/>
      <c r="AJ8" s="265"/>
      <c r="AK8" s="265"/>
      <c r="AL8" s="265"/>
      <c r="AM8" s="215">
        <f t="shared" si="0"/>
        <v>0</v>
      </c>
    </row>
    <row r="9" spans="1:39" x14ac:dyDescent="0.25">
      <c r="A9" s="202" t="s">
        <v>60</v>
      </c>
      <c r="B9" s="248"/>
      <c r="C9" s="205"/>
      <c r="AH9" s="121">
        <v>7</v>
      </c>
      <c r="AI9" s="265"/>
      <c r="AJ9" s="265"/>
      <c r="AK9" s="265"/>
      <c r="AL9" s="265"/>
      <c r="AM9" s="215">
        <f t="shared" si="0"/>
        <v>0</v>
      </c>
    </row>
    <row r="10" spans="1:39" x14ac:dyDescent="0.25">
      <c r="A10" s="217" t="s">
        <v>61</v>
      </c>
      <c r="B10" s="248"/>
      <c r="C10" s="204">
        <f>B10-B4</f>
        <v>0</v>
      </c>
      <c r="AH10" s="121">
        <v>8</v>
      </c>
      <c r="AI10" s="265"/>
      <c r="AJ10" s="265"/>
      <c r="AK10" s="265"/>
      <c r="AL10" s="265"/>
      <c r="AM10" s="215">
        <f t="shared" si="0"/>
        <v>0</v>
      </c>
    </row>
    <row r="11" spans="1:39" x14ac:dyDescent="0.25">
      <c r="A11" s="202" t="s">
        <v>62</v>
      </c>
      <c r="B11" s="248"/>
      <c r="C11" s="205"/>
      <c r="F11" s="238"/>
      <c r="G11" s="238"/>
      <c r="H11" s="238"/>
      <c r="I11" s="238"/>
      <c r="J11" s="238"/>
      <c r="K11" s="238"/>
      <c r="L11" s="238"/>
      <c r="M11" s="238"/>
      <c r="N11" s="238"/>
      <c r="O11" s="238"/>
      <c r="P11" s="238"/>
      <c r="Q11" s="238"/>
      <c r="R11" s="238"/>
      <c r="S11" s="238"/>
      <c r="T11" s="238"/>
      <c r="U11" s="238"/>
      <c r="V11" s="238"/>
      <c r="W11" s="238"/>
      <c r="X11" s="238"/>
      <c r="Y11" s="238"/>
      <c r="Z11" s="238"/>
      <c r="AA11" s="238"/>
      <c r="AB11" s="238"/>
      <c r="AC11" s="238"/>
      <c r="AH11" s="121">
        <v>9</v>
      </c>
      <c r="AI11" s="265"/>
      <c r="AJ11" s="265"/>
      <c r="AK11" s="265"/>
      <c r="AL11" s="265"/>
      <c r="AM11" s="215">
        <f t="shared" si="0"/>
        <v>0</v>
      </c>
    </row>
    <row r="12" spans="1:39" x14ac:dyDescent="0.25">
      <c r="A12" s="202" t="s">
        <v>63</v>
      </c>
      <c r="B12" s="248"/>
      <c r="C12" s="205"/>
      <c r="AH12" s="121">
        <v>10</v>
      </c>
      <c r="AI12" s="265"/>
      <c r="AJ12" s="265"/>
      <c r="AK12" s="265"/>
      <c r="AL12" s="265"/>
      <c r="AM12" s="215">
        <f t="shared" si="0"/>
        <v>0</v>
      </c>
    </row>
    <row r="13" spans="1:39" x14ac:dyDescent="0.25">
      <c r="A13" s="202" t="s">
        <v>64</v>
      </c>
      <c r="B13" s="248"/>
      <c r="C13" s="205"/>
      <c r="AH13" s="121">
        <v>11</v>
      </c>
      <c r="AI13" s="265"/>
      <c r="AJ13" s="265"/>
      <c r="AK13" s="265"/>
      <c r="AL13" s="265"/>
      <c r="AM13" s="215">
        <f t="shared" si="0"/>
        <v>0</v>
      </c>
    </row>
    <row r="14" spans="1:39" x14ac:dyDescent="0.25">
      <c r="A14" s="202" t="s">
        <v>65</v>
      </c>
      <c r="B14" s="248"/>
      <c r="C14" s="205"/>
      <c r="AH14" s="121">
        <v>12</v>
      </c>
      <c r="AI14" s="265"/>
      <c r="AJ14" s="265"/>
      <c r="AK14" s="265"/>
      <c r="AL14" s="265"/>
      <c r="AM14" s="215">
        <f t="shared" si="0"/>
        <v>0</v>
      </c>
    </row>
    <row r="15" spans="1:39" x14ac:dyDescent="0.25">
      <c r="A15" s="202" t="s">
        <v>66</v>
      </c>
      <c r="B15" s="248"/>
      <c r="C15" s="205"/>
      <c r="I15" s="119"/>
      <c r="AH15" s="121">
        <v>13</v>
      </c>
      <c r="AI15" s="265"/>
      <c r="AJ15" s="265"/>
      <c r="AK15" s="265"/>
      <c r="AL15" s="265"/>
      <c r="AM15" s="215">
        <f t="shared" si="0"/>
        <v>0</v>
      </c>
    </row>
    <row r="16" spans="1:39" x14ac:dyDescent="0.25">
      <c r="A16" s="216" t="s">
        <v>67</v>
      </c>
      <c r="B16" s="248"/>
      <c r="C16" s="204">
        <f>B16-B10</f>
        <v>0</v>
      </c>
      <c r="I16" s="119"/>
      <c r="AH16" s="121">
        <v>14</v>
      </c>
      <c r="AI16" s="265"/>
      <c r="AJ16" s="265"/>
      <c r="AK16" s="265"/>
      <c r="AL16" s="265"/>
      <c r="AM16" s="215">
        <f t="shared" si="0"/>
        <v>0</v>
      </c>
    </row>
    <row r="17" spans="1:39" x14ac:dyDescent="0.25">
      <c r="A17" s="200" t="s">
        <v>68</v>
      </c>
      <c r="B17" s="248"/>
      <c r="C17" s="205"/>
      <c r="I17" s="119"/>
      <c r="AH17" s="121">
        <v>15</v>
      </c>
      <c r="AI17" s="265"/>
      <c r="AJ17" s="265"/>
      <c r="AK17" s="265"/>
      <c r="AL17" s="265"/>
      <c r="AM17" s="215">
        <f t="shared" si="0"/>
        <v>0</v>
      </c>
    </row>
    <row r="18" spans="1:39" x14ac:dyDescent="0.25">
      <c r="A18" s="200" t="s">
        <v>69</v>
      </c>
      <c r="B18" s="248"/>
      <c r="C18" s="205"/>
      <c r="AH18" s="121">
        <v>16</v>
      </c>
      <c r="AI18" s="265"/>
      <c r="AJ18" s="265"/>
      <c r="AK18" s="265"/>
      <c r="AL18" s="265"/>
      <c r="AM18" s="215">
        <f t="shared" si="0"/>
        <v>0</v>
      </c>
    </row>
    <row r="19" spans="1:39" x14ac:dyDescent="0.25">
      <c r="A19" s="200" t="s">
        <v>70</v>
      </c>
      <c r="B19" s="248"/>
      <c r="C19" s="205"/>
      <c r="AH19" s="121">
        <v>17</v>
      </c>
      <c r="AI19" s="265"/>
      <c r="AJ19" s="265"/>
      <c r="AK19" s="265"/>
      <c r="AL19" s="265"/>
      <c r="AM19" s="215">
        <f t="shared" si="0"/>
        <v>0</v>
      </c>
    </row>
    <row r="20" spans="1:39" x14ac:dyDescent="0.25">
      <c r="A20" s="200" t="s">
        <v>71</v>
      </c>
      <c r="B20" s="248"/>
      <c r="C20" s="205"/>
      <c r="AH20" s="121">
        <v>18</v>
      </c>
      <c r="AI20" s="265"/>
      <c r="AJ20" s="265"/>
      <c r="AK20" s="265"/>
      <c r="AL20" s="265"/>
      <c r="AM20" s="215">
        <f t="shared" si="0"/>
        <v>0</v>
      </c>
    </row>
    <row r="21" spans="1:39" x14ac:dyDescent="0.25">
      <c r="A21" s="200" t="s">
        <v>72</v>
      </c>
      <c r="B21" s="248"/>
      <c r="C21" s="205"/>
      <c r="AH21" s="121">
        <v>19</v>
      </c>
      <c r="AI21" s="265"/>
      <c r="AJ21" s="265"/>
      <c r="AK21" s="265"/>
      <c r="AL21" s="265"/>
      <c r="AM21" s="215">
        <f t="shared" si="0"/>
        <v>0</v>
      </c>
    </row>
    <row r="22" spans="1:39" x14ac:dyDescent="0.25">
      <c r="A22" s="216" t="s">
        <v>73</v>
      </c>
      <c r="B22" s="248"/>
      <c r="C22" s="204">
        <f>B22-B16</f>
        <v>0</v>
      </c>
      <c r="AH22" s="121">
        <v>20</v>
      </c>
      <c r="AI22" s="265"/>
      <c r="AJ22" s="265"/>
      <c r="AK22" s="265"/>
      <c r="AL22" s="265"/>
      <c r="AM22" s="215">
        <f t="shared" si="0"/>
        <v>0</v>
      </c>
    </row>
    <row r="23" spans="1:39" x14ac:dyDescent="0.25">
      <c r="A23" s="200" t="s">
        <v>74</v>
      </c>
      <c r="B23" s="248"/>
      <c r="C23" s="205"/>
      <c r="AH23" s="121">
        <v>21</v>
      </c>
      <c r="AI23" s="265"/>
      <c r="AJ23" s="265"/>
      <c r="AK23" s="265"/>
      <c r="AL23" s="265"/>
      <c r="AM23" s="215">
        <f t="shared" si="0"/>
        <v>0</v>
      </c>
    </row>
    <row r="24" spans="1:39" x14ac:dyDescent="0.25">
      <c r="A24" s="200" t="s">
        <v>75</v>
      </c>
      <c r="B24" s="248"/>
      <c r="C24" s="205"/>
      <c r="AH24" s="121">
        <v>22</v>
      </c>
      <c r="AI24" s="265"/>
      <c r="AJ24" s="265"/>
      <c r="AK24" s="265"/>
      <c r="AL24" s="265"/>
      <c r="AM24" s="215">
        <f t="shared" si="0"/>
        <v>0</v>
      </c>
    </row>
    <row r="25" spans="1:39" x14ac:dyDescent="0.25">
      <c r="A25" s="200" t="s">
        <v>76</v>
      </c>
      <c r="B25" s="248"/>
      <c r="C25" s="205"/>
      <c r="Y25" s="91" t="s">
        <v>214</v>
      </c>
      <c r="AH25" s="121">
        <v>23</v>
      </c>
      <c r="AI25" s="265"/>
      <c r="AJ25" s="265"/>
      <c r="AK25" s="265"/>
      <c r="AL25" s="265"/>
      <c r="AM25" s="215">
        <f t="shared" si="0"/>
        <v>0</v>
      </c>
    </row>
    <row r="26" spans="1:39" x14ac:dyDescent="0.25">
      <c r="A26" s="200" t="s">
        <v>77</v>
      </c>
      <c r="B26" s="248"/>
      <c r="C26" s="205"/>
      <c r="AH26" s="121">
        <v>24</v>
      </c>
      <c r="AI26" s="265"/>
      <c r="AJ26" s="265"/>
      <c r="AK26" s="265"/>
      <c r="AL26" s="265"/>
      <c r="AM26" s="215">
        <f t="shared" si="0"/>
        <v>0</v>
      </c>
    </row>
    <row r="27" spans="1:39" x14ac:dyDescent="0.25">
      <c r="A27" s="200" t="s">
        <v>78</v>
      </c>
      <c r="B27" s="248"/>
      <c r="C27" s="205"/>
      <c r="AH27" s="121">
        <v>25</v>
      </c>
      <c r="AI27" s="265"/>
      <c r="AJ27" s="265"/>
      <c r="AK27" s="265"/>
      <c r="AL27" s="265"/>
      <c r="AM27" s="215">
        <f t="shared" si="0"/>
        <v>0</v>
      </c>
    </row>
    <row r="28" spans="1:39" x14ac:dyDescent="0.25">
      <c r="A28" s="216" t="s">
        <v>79</v>
      </c>
      <c r="B28" s="248"/>
      <c r="C28" s="204">
        <f>B28-B22</f>
        <v>0</v>
      </c>
      <c r="AH28" s="121">
        <v>26</v>
      </c>
      <c r="AI28" s="265"/>
      <c r="AJ28" s="265"/>
      <c r="AK28" s="265"/>
      <c r="AL28" s="265"/>
      <c r="AM28" s="215">
        <f t="shared" si="0"/>
        <v>0</v>
      </c>
    </row>
    <row r="29" spans="1:39" x14ac:dyDescent="0.25">
      <c r="A29" s="200" t="s">
        <v>80</v>
      </c>
      <c r="B29" s="248"/>
      <c r="C29" s="205"/>
      <c r="AH29" s="121">
        <v>27</v>
      </c>
      <c r="AI29" s="265"/>
      <c r="AJ29" s="265"/>
      <c r="AK29" s="265"/>
      <c r="AL29" s="265"/>
      <c r="AM29" s="215">
        <f t="shared" si="0"/>
        <v>0</v>
      </c>
    </row>
    <row r="30" spans="1:39" x14ac:dyDescent="0.25">
      <c r="A30" s="200" t="s">
        <v>81</v>
      </c>
      <c r="B30" s="248"/>
      <c r="C30" s="205"/>
      <c r="AH30" s="121">
        <v>28</v>
      </c>
      <c r="AI30" s="265"/>
      <c r="AJ30" s="265"/>
      <c r="AK30" s="265"/>
      <c r="AL30" s="265"/>
      <c r="AM30" s="215">
        <f t="shared" si="0"/>
        <v>0</v>
      </c>
    </row>
    <row r="31" spans="1:39" x14ac:dyDescent="0.25">
      <c r="A31" s="200" t="s">
        <v>82</v>
      </c>
      <c r="B31" s="248"/>
      <c r="C31" s="205"/>
      <c r="AH31" s="121">
        <v>29</v>
      </c>
      <c r="AI31" s="265"/>
      <c r="AJ31" s="265"/>
      <c r="AK31" s="265"/>
      <c r="AL31" s="265"/>
      <c r="AM31" s="215">
        <f t="shared" si="0"/>
        <v>0</v>
      </c>
    </row>
    <row r="32" spans="1:39" x14ac:dyDescent="0.25">
      <c r="A32" s="200" t="s">
        <v>83</v>
      </c>
      <c r="B32" s="249"/>
      <c r="C32" s="205"/>
      <c r="AH32" s="121">
        <v>30</v>
      </c>
      <c r="AI32" s="265"/>
      <c r="AJ32" s="265"/>
      <c r="AK32" s="265"/>
      <c r="AL32" s="265"/>
      <c r="AM32" s="215">
        <f t="shared" si="0"/>
        <v>0</v>
      </c>
    </row>
    <row r="33" spans="1:39" x14ac:dyDescent="0.25">
      <c r="A33" s="200" t="s">
        <v>84</v>
      </c>
      <c r="B33" s="249"/>
      <c r="C33" s="205"/>
      <c r="AH33" s="121">
        <v>31</v>
      </c>
      <c r="AI33" s="265"/>
      <c r="AJ33" s="265"/>
      <c r="AK33" s="265"/>
      <c r="AL33" s="265"/>
      <c r="AM33" s="215">
        <f t="shared" si="0"/>
        <v>0</v>
      </c>
    </row>
    <row r="34" spans="1:39" x14ac:dyDescent="0.25">
      <c r="A34" s="216" t="s">
        <v>85</v>
      </c>
      <c r="B34" s="249"/>
      <c r="C34" s="204">
        <f>B34-B28</f>
        <v>0</v>
      </c>
    </row>
    <row r="35" spans="1:39" x14ac:dyDescent="0.25">
      <c r="A35" s="200" t="s">
        <v>86</v>
      </c>
      <c r="B35" s="249"/>
      <c r="C35" s="205"/>
      <c r="AH35" s="277" t="s">
        <v>377</v>
      </c>
      <c r="AI35" s="91" t="s">
        <v>378</v>
      </c>
      <c r="AJ35" s="112"/>
      <c r="AK35" s="112"/>
      <c r="AL35" s="112"/>
    </row>
    <row r="36" spans="1:39" x14ac:dyDescent="0.25">
      <c r="A36" s="200" t="s">
        <v>87</v>
      </c>
      <c r="B36" s="249"/>
      <c r="C36" s="205"/>
    </row>
    <row r="37" spans="1:39" x14ac:dyDescent="0.25">
      <c r="A37" s="200" t="s">
        <v>88</v>
      </c>
      <c r="B37" s="249"/>
      <c r="C37" s="205"/>
    </row>
    <row r="38" spans="1:39" x14ac:dyDescent="0.25">
      <c r="A38" s="200" t="s">
        <v>89</v>
      </c>
      <c r="B38" s="249"/>
      <c r="C38" s="205"/>
    </row>
    <row r="39" spans="1:39" x14ac:dyDescent="0.25">
      <c r="A39" s="200" t="s">
        <v>90</v>
      </c>
      <c r="B39" s="249"/>
      <c r="C39" s="205"/>
    </row>
    <row r="40" spans="1:39" x14ac:dyDescent="0.25">
      <c r="A40" s="216" t="s">
        <v>91</v>
      </c>
      <c r="B40" s="249"/>
      <c r="C40" s="204">
        <f>B40-B34</f>
        <v>0</v>
      </c>
    </row>
    <row r="41" spans="1:39" x14ac:dyDescent="0.25">
      <c r="A41" s="200" t="s">
        <v>92</v>
      </c>
      <c r="B41" s="249"/>
      <c r="C41" s="205"/>
    </row>
    <row r="42" spans="1:39" x14ac:dyDescent="0.25">
      <c r="A42" s="200" t="s">
        <v>93</v>
      </c>
      <c r="B42" s="249"/>
      <c r="C42" s="205"/>
    </row>
    <row r="43" spans="1:39" x14ac:dyDescent="0.25">
      <c r="A43" s="200" t="s">
        <v>94</v>
      </c>
      <c r="B43" s="249"/>
      <c r="C43" s="205"/>
    </row>
    <row r="44" spans="1:39" x14ac:dyDescent="0.25">
      <c r="A44" s="200" t="s">
        <v>95</v>
      </c>
      <c r="B44" s="249"/>
      <c r="C44" s="205"/>
    </row>
    <row r="45" spans="1:39" x14ac:dyDescent="0.25">
      <c r="A45" s="200" t="s">
        <v>96</v>
      </c>
      <c r="B45" s="249"/>
      <c r="C45" s="205"/>
    </row>
    <row r="46" spans="1:39" x14ac:dyDescent="0.25">
      <c r="A46" s="216" t="s">
        <v>97</v>
      </c>
      <c r="B46" s="249"/>
      <c r="C46" s="204">
        <f>B46-B40</f>
        <v>0</v>
      </c>
    </row>
    <row r="47" spans="1:39" x14ac:dyDescent="0.25">
      <c r="A47" s="200" t="s">
        <v>98</v>
      </c>
      <c r="B47" s="249"/>
      <c r="C47" s="205"/>
    </row>
    <row r="48" spans="1:39" x14ac:dyDescent="0.25">
      <c r="A48" s="200" t="s">
        <v>99</v>
      </c>
      <c r="B48" s="249"/>
      <c r="C48" s="205"/>
    </row>
    <row r="49" spans="1:3" x14ac:dyDescent="0.25">
      <c r="A49" s="200" t="s">
        <v>100</v>
      </c>
      <c r="B49" s="249"/>
      <c r="C49" s="205"/>
    </row>
    <row r="50" spans="1:3" x14ac:dyDescent="0.25">
      <c r="A50" s="200" t="s">
        <v>101</v>
      </c>
      <c r="B50" s="249"/>
      <c r="C50" s="205"/>
    </row>
    <row r="51" spans="1:3" x14ac:dyDescent="0.25">
      <c r="A51" s="200" t="s">
        <v>102</v>
      </c>
      <c r="B51" s="249"/>
      <c r="C51" s="205"/>
    </row>
    <row r="52" spans="1:3" x14ac:dyDescent="0.25">
      <c r="A52" s="216" t="s">
        <v>103</v>
      </c>
      <c r="B52" s="249"/>
      <c r="C52" s="204">
        <f>B52-B46</f>
        <v>0</v>
      </c>
    </row>
    <row r="53" spans="1:3" x14ac:dyDescent="0.25">
      <c r="A53" s="200" t="s">
        <v>104</v>
      </c>
      <c r="B53" s="249"/>
      <c r="C53" s="205"/>
    </row>
    <row r="54" spans="1:3" x14ac:dyDescent="0.25">
      <c r="A54" s="200" t="s">
        <v>105</v>
      </c>
      <c r="B54" s="249"/>
      <c r="C54" s="205"/>
    </row>
    <row r="55" spans="1:3" x14ac:dyDescent="0.25">
      <c r="A55" s="200" t="s">
        <v>106</v>
      </c>
      <c r="B55" s="249"/>
      <c r="C55" s="205"/>
    </row>
    <row r="56" spans="1:3" x14ac:dyDescent="0.25">
      <c r="A56" s="200" t="s">
        <v>107</v>
      </c>
      <c r="B56" s="249"/>
      <c r="C56" s="205"/>
    </row>
    <row r="57" spans="1:3" x14ac:dyDescent="0.25">
      <c r="A57" s="200" t="s">
        <v>108</v>
      </c>
      <c r="B57" s="249"/>
      <c r="C57" s="205"/>
    </row>
    <row r="58" spans="1:3" x14ac:dyDescent="0.25">
      <c r="A58" s="216" t="s">
        <v>109</v>
      </c>
      <c r="B58" s="249"/>
      <c r="C58" s="204">
        <f>B58-B52</f>
        <v>0</v>
      </c>
    </row>
    <row r="59" spans="1:3" x14ac:dyDescent="0.25">
      <c r="A59" s="200" t="s">
        <v>110</v>
      </c>
      <c r="B59" s="249"/>
      <c r="C59" s="205"/>
    </row>
    <row r="60" spans="1:3" x14ac:dyDescent="0.25">
      <c r="A60" s="200" t="s">
        <v>111</v>
      </c>
      <c r="B60" s="249"/>
      <c r="C60" s="205"/>
    </row>
    <row r="61" spans="1:3" x14ac:dyDescent="0.25">
      <c r="A61" s="200" t="s">
        <v>112</v>
      </c>
      <c r="B61" s="249"/>
      <c r="C61" s="205"/>
    </row>
    <row r="62" spans="1:3" x14ac:dyDescent="0.25">
      <c r="A62" s="200" t="s">
        <v>113</v>
      </c>
      <c r="B62" s="249"/>
      <c r="C62" s="205"/>
    </row>
    <row r="63" spans="1:3" x14ac:dyDescent="0.25">
      <c r="A63" s="200" t="s">
        <v>114</v>
      </c>
      <c r="B63" s="249"/>
      <c r="C63" s="205"/>
    </row>
    <row r="64" spans="1:3" x14ac:dyDescent="0.25">
      <c r="A64" s="216" t="s">
        <v>115</v>
      </c>
      <c r="B64" s="249"/>
      <c r="C64" s="204">
        <f>B64-B58</f>
        <v>0</v>
      </c>
    </row>
    <row r="65" spans="1:3" x14ac:dyDescent="0.25">
      <c r="A65" s="200" t="s">
        <v>116</v>
      </c>
      <c r="B65" s="249"/>
      <c r="C65" s="205"/>
    </row>
    <row r="66" spans="1:3" x14ac:dyDescent="0.25">
      <c r="A66" s="200" t="s">
        <v>117</v>
      </c>
      <c r="B66" s="249"/>
      <c r="C66" s="205"/>
    </row>
    <row r="67" spans="1:3" x14ac:dyDescent="0.25">
      <c r="A67" s="200" t="s">
        <v>118</v>
      </c>
      <c r="B67" s="249"/>
      <c r="C67" s="205"/>
    </row>
    <row r="68" spans="1:3" x14ac:dyDescent="0.25">
      <c r="A68" s="200" t="s">
        <v>119</v>
      </c>
      <c r="B68" s="249"/>
      <c r="C68" s="205"/>
    </row>
    <row r="69" spans="1:3" x14ac:dyDescent="0.25">
      <c r="A69" s="200" t="s">
        <v>120</v>
      </c>
      <c r="B69" s="249"/>
      <c r="C69" s="205"/>
    </row>
    <row r="70" spans="1:3" x14ac:dyDescent="0.25">
      <c r="A70" s="216" t="s">
        <v>121</v>
      </c>
      <c r="B70" s="249"/>
      <c r="C70" s="204">
        <f>B70-B64</f>
        <v>0</v>
      </c>
    </row>
    <row r="71" spans="1:3" x14ac:dyDescent="0.25">
      <c r="A71" s="200" t="s">
        <v>122</v>
      </c>
      <c r="B71" s="249"/>
      <c r="C71" s="205"/>
    </row>
    <row r="72" spans="1:3" x14ac:dyDescent="0.25">
      <c r="A72" s="200" t="s">
        <v>123</v>
      </c>
      <c r="B72" s="249"/>
      <c r="C72" s="205"/>
    </row>
    <row r="73" spans="1:3" x14ac:dyDescent="0.25">
      <c r="A73" s="200" t="s">
        <v>124</v>
      </c>
      <c r="B73" s="249"/>
      <c r="C73" s="205"/>
    </row>
    <row r="74" spans="1:3" x14ac:dyDescent="0.25">
      <c r="A74" s="200" t="s">
        <v>125</v>
      </c>
      <c r="B74" s="249"/>
      <c r="C74" s="205"/>
    </row>
    <row r="75" spans="1:3" x14ac:dyDescent="0.25">
      <c r="A75" s="200" t="s">
        <v>126</v>
      </c>
      <c r="B75" s="249"/>
      <c r="C75" s="205"/>
    </row>
    <row r="76" spans="1:3" x14ac:dyDescent="0.25">
      <c r="A76" s="216" t="s">
        <v>127</v>
      </c>
      <c r="B76" s="249"/>
      <c r="C76" s="204">
        <f>B76-B70</f>
        <v>0</v>
      </c>
    </row>
    <row r="77" spans="1:3" x14ac:dyDescent="0.25">
      <c r="A77" s="200" t="s">
        <v>128</v>
      </c>
      <c r="B77" s="249"/>
      <c r="C77" s="205"/>
    </row>
    <row r="78" spans="1:3" x14ac:dyDescent="0.25">
      <c r="A78" s="200" t="s">
        <v>129</v>
      </c>
      <c r="B78" s="249"/>
      <c r="C78" s="205"/>
    </row>
    <row r="79" spans="1:3" x14ac:dyDescent="0.25">
      <c r="A79" s="200" t="s">
        <v>130</v>
      </c>
      <c r="B79" s="249"/>
      <c r="C79" s="205"/>
    </row>
    <row r="80" spans="1:3" x14ac:dyDescent="0.25">
      <c r="A80" s="200" t="s">
        <v>131</v>
      </c>
      <c r="B80" s="249"/>
      <c r="C80" s="205"/>
    </row>
    <row r="81" spans="1:3" x14ac:dyDescent="0.25">
      <c r="A81" s="200" t="s">
        <v>132</v>
      </c>
      <c r="B81" s="249"/>
      <c r="C81" s="205"/>
    </row>
    <row r="82" spans="1:3" x14ac:dyDescent="0.25">
      <c r="A82" s="216" t="s">
        <v>133</v>
      </c>
      <c r="B82" s="249"/>
      <c r="C82" s="204">
        <f>B82-B76</f>
        <v>0</v>
      </c>
    </row>
    <row r="83" spans="1:3" x14ac:dyDescent="0.25">
      <c r="A83" s="200" t="s">
        <v>134</v>
      </c>
      <c r="B83" s="249"/>
      <c r="C83" s="205"/>
    </row>
    <row r="84" spans="1:3" x14ac:dyDescent="0.25">
      <c r="A84" s="200" t="s">
        <v>135</v>
      </c>
      <c r="B84" s="249"/>
      <c r="C84" s="205"/>
    </row>
    <row r="85" spans="1:3" x14ac:dyDescent="0.25">
      <c r="A85" s="200" t="s">
        <v>136</v>
      </c>
      <c r="B85" s="249"/>
      <c r="C85" s="205"/>
    </row>
    <row r="86" spans="1:3" x14ac:dyDescent="0.25">
      <c r="A86" s="200" t="s">
        <v>137</v>
      </c>
      <c r="B86" s="249"/>
      <c r="C86" s="205"/>
    </row>
    <row r="87" spans="1:3" x14ac:dyDescent="0.25">
      <c r="A87" s="200" t="s">
        <v>138</v>
      </c>
      <c r="B87" s="249"/>
      <c r="C87" s="205"/>
    </row>
    <row r="88" spans="1:3" x14ac:dyDescent="0.25">
      <c r="A88" s="216" t="s">
        <v>139</v>
      </c>
      <c r="B88" s="249"/>
      <c r="C88" s="204">
        <f>B88-B82</f>
        <v>0</v>
      </c>
    </row>
    <row r="89" spans="1:3" x14ac:dyDescent="0.25">
      <c r="A89" s="200" t="s">
        <v>140</v>
      </c>
      <c r="B89" s="249"/>
      <c r="C89" s="205"/>
    </row>
    <row r="90" spans="1:3" x14ac:dyDescent="0.25">
      <c r="A90" s="200" t="s">
        <v>141</v>
      </c>
      <c r="B90" s="249"/>
      <c r="C90" s="205"/>
    </row>
    <row r="91" spans="1:3" x14ac:dyDescent="0.25">
      <c r="A91" s="200" t="s">
        <v>142</v>
      </c>
      <c r="B91" s="249"/>
      <c r="C91" s="205"/>
    </row>
    <row r="92" spans="1:3" x14ac:dyDescent="0.25">
      <c r="A92" s="200" t="s">
        <v>143</v>
      </c>
      <c r="B92" s="249"/>
      <c r="C92" s="205"/>
    </row>
    <row r="93" spans="1:3" x14ac:dyDescent="0.25">
      <c r="A93" s="200" t="s">
        <v>144</v>
      </c>
      <c r="B93" s="249"/>
      <c r="C93" s="205"/>
    </row>
    <row r="94" spans="1:3" x14ac:dyDescent="0.25">
      <c r="A94" s="216" t="s">
        <v>145</v>
      </c>
      <c r="B94" s="249"/>
      <c r="C94" s="204">
        <f>B94-B88</f>
        <v>0</v>
      </c>
    </row>
    <row r="95" spans="1:3" x14ac:dyDescent="0.25">
      <c r="A95" s="200" t="s">
        <v>146</v>
      </c>
      <c r="B95" s="249"/>
      <c r="C95" s="205"/>
    </row>
    <row r="96" spans="1:3" x14ac:dyDescent="0.25">
      <c r="A96" s="200" t="s">
        <v>147</v>
      </c>
      <c r="B96" s="249"/>
      <c r="C96" s="205"/>
    </row>
    <row r="97" spans="1:3" x14ac:dyDescent="0.25">
      <c r="A97" s="200" t="s">
        <v>148</v>
      </c>
      <c r="B97" s="249"/>
      <c r="C97" s="205"/>
    </row>
    <row r="98" spans="1:3" x14ac:dyDescent="0.25">
      <c r="A98" s="200" t="s">
        <v>149</v>
      </c>
      <c r="B98" s="249"/>
      <c r="C98" s="205"/>
    </row>
    <row r="99" spans="1:3" x14ac:dyDescent="0.25">
      <c r="A99" s="200" t="s">
        <v>150</v>
      </c>
      <c r="B99" s="249"/>
      <c r="C99" s="205"/>
    </row>
    <row r="100" spans="1:3" x14ac:dyDescent="0.25">
      <c r="A100" s="216" t="s">
        <v>151</v>
      </c>
      <c r="B100" s="249"/>
      <c r="C100" s="204">
        <f>B100-B94</f>
        <v>0</v>
      </c>
    </row>
    <row r="101" spans="1:3" x14ac:dyDescent="0.25">
      <c r="A101" s="200" t="s">
        <v>152</v>
      </c>
      <c r="B101" s="249"/>
      <c r="C101" s="205"/>
    </row>
    <row r="102" spans="1:3" x14ac:dyDescent="0.25">
      <c r="A102" s="200" t="s">
        <v>153</v>
      </c>
      <c r="B102" s="249"/>
      <c r="C102" s="205"/>
    </row>
    <row r="103" spans="1:3" x14ac:dyDescent="0.25">
      <c r="A103" s="200" t="s">
        <v>154</v>
      </c>
      <c r="B103" s="249"/>
      <c r="C103" s="205"/>
    </row>
    <row r="104" spans="1:3" x14ac:dyDescent="0.25">
      <c r="A104" s="200" t="s">
        <v>155</v>
      </c>
      <c r="B104" s="249"/>
      <c r="C104" s="205"/>
    </row>
    <row r="105" spans="1:3" x14ac:dyDescent="0.25">
      <c r="A105" s="200" t="s">
        <v>156</v>
      </c>
      <c r="B105" s="249"/>
      <c r="C105" s="205"/>
    </row>
    <row r="106" spans="1:3" x14ac:dyDescent="0.25">
      <c r="A106" s="217" t="s">
        <v>157</v>
      </c>
      <c r="B106" s="249"/>
      <c r="C106" s="204">
        <f>B106-B100</f>
        <v>0</v>
      </c>
    </row>
    <row r="107" spans="1:3" x14ac:dyDescent="0.25">
      <c r="A107" s="202" t="s">
        <v>158</v>
      </c>
      <c r="B107" s="249"/>
      <c r="C107" s="205"/>
    </row>
    <row r="108" spans="1:3" x14ac:dyDescent="0.25">
      <c r="A108" s="202" t="s">
        <v>159</v>
      </c>
      <c r="B108" s="249"/>
      <c r="C108" s="205"/>
    </row>
    <row r="109" spans="1:3" x14ac:dyDescent="0.25">
      <c r="A109" s="202" t="s">
        <v>160</v>
      </c>
      <c r="B109" s="249"/>
      <c r="C109" s="205"/>
    </row>
    <row r="110" spans="1:3" x14ac:dyDescent="0.25">
      <c r="A110" s="202" t="s">
        <v>161</v>
      </c>
      <c r="B110" s="249"/>
      <c r="C110" s="205"/>
    </row>
    <row r="111" spans="1:3" x14ac:dyDescent="0.25">
      <c r="A111" s="202" t="s">
        <v>162</v>
      </c>
      <c r="B111" s="249"/>
      <c r="C111" s="205"/>
    </row>
    <row r="112" spans="1:3" x14ac:dyDescent="0.25">
      <c r="A112" s="217" t="s">
        <v>163</v>
      </c>
      <c r="B112" s="249"/>
      <c r="C112" s="204">
        <f>B112-B106</f>
        <v>0</v>
      </c>
    </row>
    <row r="113" spans="1:31" x14ac:dyDescent="0.25">
      <c r="A113" s="202" t="s">
        <v>164</v>
      </c>
      <c r="B113" s="249"/>
      <c r="C113" s="205"/>
    </row>
    <row r="114" spans="1:31" x14ac:dyDescent="0.25">
      <c r="A114" s="202" t="s">
        <v>165</v>
      </c>
      <c r="B114" s="249"/>
      <c r="C114" s="205"/>
    </row>
    <row r="115" spans="1:31" x14ac:dyDescent="0.25">
      <c r="A115" s="202" t="s">
        <v>166</v>
      </c>
      <c r="B115" s="249"/>
      <c r="C115" s="205"/>
    </row>
    <row r="116" spans="1:31" x14ac:dyDescent="0.25">
      <c r="A116" s="202" t="s">
        <v>167</v>
      </c>
      <c r="B116" s="249"/>
      <c r="C116" s="205"/>
    </row>
    <row r="117" spans="1:31" x14ac:dyDescent="0.25">
      <c r="A117" s="202" t="s">
        <v>168</v>
      </c>
      <c r="B117" s="249"/>
      <c r="C117" s="205"/>
    </row>
    <row r="118" spans="1:31" x14ac:dyDescent="0.25">
      <c r="A118" s="217" t="s">
        <v>169</v>
      </c>
      <c r="B118" s="249"/>
      <c r="C118" s="204">
        <f>B118-B112</f>
        <v>0</v>
      </c>
    </row>
    <row r="119" spans="1:31" x14ac:dyDescent="0.25">
      <c r="A119" s="202" t="s">
        <v>170</v>
      </c>
      <c r="B119" s="249"/>
      <c r="C119" s="205"/>
    </row>
    <row r="120" spans="1:31" x14ac:dyDescent="0.25">
      <c r="A120" s="202" t="s">
        <v>171</v>
      </c>
      <c r="B120" s="249"/>
      <c r="C120" s="205"/>
    </row>
    <row r="121" spans="1:31" x14ac:dyDescent="0.25">
      <c r="A121" s="202" t="s">
        <v>172</v>
      </c>
      <c r="B121" s="249"/>
      <c r="C121" s="205"/>
    </row>
    <row r="122" spans="1:31" x14ac:dyDescent="0.25">
      <c r="A122" s="202" t="s">
        <v>173</v>
      </c>
      <c r="B122" s="249"/>
      <c r="C122" s="205"/>
    </row>
    <row r="123" spans="1:31" x14ac:dyDescent="0.25">
      <c r="A123" s="202" t="s">
        <v>174</v>
      </c>
      <c r="B123" s="249"/>
      <c r="C123" s="205"/>
    </row>
    <row r="124" spans="1:31" x14ac:dyDescent="0.25">
      <c r="A124" s="217" t="s">
        <v>175</v>
      </c>
      <c r="B124" s="249"/>
      <c r="C124" s="204">
        <f>B124-B118</f>
        <v>0</v>
      </c>
    </row>
    <row r="125" spans="1:31" x14ac:dyDescent="0.25">
      <c r="A125" s="202" t="s">
        <v>176</v>
      </c>
      <c r="B125" s="249"/>
      <c r="C125" s="205"/>
    </row>
    <row r="126" spans="1:31" ht="15.75" x14ac:dyDescent="0.25">
      <c r="A126" s="202" t="s">
        <v>177</v>
      </c>
      <c r="B126" s="249"/>
      <c r="C126" s="205"/>
      <c r="AE126" s="99"/>
    </row>
    <row r="127" spans="1:31" x14ac:dyDescent="0.25">
      <c r="A127" s="202" t="s">
        <v>178</v>
      </c>
      <c r="B127" s="249"/>
      <c r="C127" s="205"/>
    </row>
    <row r="128" spans="1:31" x14ac:dyDescent="0.25">
      <c r="A128" s="202" t="s">
        <v>179</v>
      </c>
      <c r="B128" s="249"/>
      <c r="C128" s="205"/>
    </row>
    <row r="129" spans="1:5" x14ac:dyDescent="0.25">
      <c r="A129" s="202" t="s">
        <v>180</v>
      </c>
      <c r="B129" s="249"/>
      <c r="C129" s="205"/>
    </row>
    <row r="130" spans="1:5" x14ac:dyDescent="0.25">
      <c r="A130" s="217" t="s">
        <v>181</v>
      </c>
      <c r="B130" s="249"/>
      <c r="C130" s="204">
        <f>B130-B124</f>
        <v>0</v>
      </c>
    </row>
    <row r="131" spans="1:5" x14ac:dyDescent="0.25">
      <c r="A131" s="202" t="s">
        <v>182</v>
      </c>
      <c r="B131" s="249"/>
      <c r="C131" s="205"/>
    </row>
    <row r="132" spans="1:5" x14ac:dyDescent="0.25">
      <c r="A132" s="202" t="s">
        <v>183</v>
      </c>
      <c r="B132" s="249"/>
      <c r="C132" s="205"/>
    </row>
    <row r="133" spans="1:5" x14ac:dyDescent="0.25">
      <c r="A133" s="202" t="s">
        <v>184</v>
      </c>
      <c r="B133" s="249"/>
      <c r="C133" s="205"/>
    </row>
    <row r="134" spans="1:5" x14ac:dyDescent="0.25">
      <c r="A134" s="202" t="s">
        <v>185</v>
      </c>
      <c r="B134" s="249"/>
      <c r="C134" s="205"/>
    </row>
    <row r="135" spans="1:5" x14ac:dyDescent="0.25">
      <c r="A135" s="202" t="s">
        <v>186</v>
      </c>
      <c r="B135" s="249"/>
      <c r="C135" s="205"/>
    </row>
    <row r="136" spans="1:5" x14ac:dyDescent="0.25">
      <c r="A136" s="217" t="s">
        <v>187</v>
      </c>
      <c r="B136" s="249"/>
      <c r="C136" s="204">
        <f>B136-B130</f>
        <v>0</v>
      </c>
    </row>
    <row r="137" spans="1:5" x14ac:dyDescent="0.25">
      <c r="A137" s="202" t="s">
        <v>188</v>
      </c>
      <c r="B137" s="249"/>
      <c r="C137" s="205"/>
      <c r="E137" s="91" t="s">
        <v>220</v>
      </c>
    </row>
    <row r="138" spans="1:5" x14ac:dyDescent="0.25">
      <c r="A138" s="202" t="s">
        <v>189</v>
      </c>
      <c r="B138" s="249"/>
      <c r="C138" s="205"/>
    </row>
    <row r="139" spans="1:5" x14ac:dyDescent="0.25">
      <c r="A139" s="202" t="s">
        <v>190</v>
      </c>
      <c r="B139" s="249"/>
      <c r="C139" s="205"/>
    </row>
    <row r="140" spans="1:5" x14ac:dyDescent="0.25">
      <c r="A140" s="202" t="s">
        <v>191</v>
      </c>
      <c r="B140" s="249"/>
      <c r="C140" s="205"/>
    </row>
    <row r="141" spans="1:5" x14ac:dyDescent="0.25">
      <c r="A141" s="202" t="s">
        <v>192</v>
      </c>
      <c r="B141" s="249"/>
      <c r="C141" s="205"/>
    </row>
    <row r="142" spans="1:5" x14ac:dyDescent="0.25">
      <c r="A142" s="217" t="s">
        <v>193</v>
      </c>
      <c r="B142" s="249"/>
      <c r="C142" s="204">
        <f>B142-B136</f>
        <v>0</v>
      </c>
    </row>
    <row r="143" spans="1:5" x14ac:dyDescent="0.25">
      <c r="A143" s="202" t="s">
        <v>194</v>
      </c>
      <c r="B143" s="249"/>
      <c r="C143" s="205"/>
    </row>
    <row r="144" spans="1:5" x14ac:dyDescent="0.25">
      <c r="A144" s="202" t="s">
        <v>195</v>
      </c>
      <c r="B144" s="249"/>
      <c r="C144" s="205"/>
    </row>
    <row r="145" spans="1:3" x14ac:dyDescent="0.25">
      <c r="A145" s="202" t="s">
        <v>196</v>
      </c>
      <c r="B145" s="249"/>
      <c r="C145" s="205"/>
    </row>
    <row r="146" spans="1:3" x14ac:dyDescent="0.25">
      <c r="A146" s="202" t="s">
        <v>197</v>
      </c>
      <c r="B146" s="249"/>
      <c r="C146" s="205"/>
    </row>
    <row r="147" spans="1:3" x14ac:dyDescent="0.25">
      <c r="A147" s="202" t="s">
        <v>198</v>
      </c>
      <c r="B147" s="249"/>
      <c r="C147" s="205"/>
    </row>
    <row r="148" spans="1:3" x14ac:dyDescent="0.25">
      <c r="A148" s="217" t="s">
        <v>55</v>
      </c>
      <c r="B148" s="249"/>
      <c r="C148" s="204">
        <f>B148-B142</f>
        <v>0</v>
      </c>
    </row>
    <row r="149" spans="1:3" x14ac:dyDescent="0.25">
      <c r="A149" s="203"/>
      <c r="B149" s="249"/>
      <c r="C149" s="205"/>
    </row>
    <row r="150" spans="1:3" x14ac:dyDescent="0.25">
      <c r="B150" s="249"/>
      <c r="C150" s="206"/>
    </row>
    <row r="151" spans="1:3" x14ac:dyDescent="0.25">
      <c r="B151" s="249"/>
      <c r="C151" s="207"/>
    </row>
    <row r="152" spans="1:3" x14ac:dyDescent="0.25">
      <c r="C152" s="207"/>
    </row>
  </sheetData>
  <mergeCells count="3">
    <mergeCell ref="AH1:AM1"/>
    <mergeCell ref="F1:AC1"/>
    <mergeCell ref="C1:D1"/>
  </mergeCells>
  <conditionalFormatting sqref="C4:C148">
    <cfRule type="cellIs" dxfId="29" priority="19" operator="greaterThan">
      <formula>0.0001</formula>
    </cfRule>
  </conditionalFormatting>
  <conditionalFormatting sqref="F3:AC3">
    <cfRule type="cellIs" dxfId="28" priority="21" operator="between">
      <formula>0.1</formula>
      <formula>400</formula>
    </cfRule>
    <cfRule type="cellIs" dxfId="27" priority="22" operator="between">
      <formula>0.1</formula>
      <formula>300</formula>
    </cfRule>
  </conditionalFormatting>
  <conditionalFormatting sqref="F11:AC11">
    <cfRule type="cellIs" dxfId="26" priority="13" operator="greaterThan">
      <formula>0</formula>
    </cfRule>
  </conditionalFormatting>
  <conditionalFormatting sqref="L125">
    <cfRule type="cellIs" dxfId="25" priority="20" operator="greaterThan">
      <formula>0.001</formula>
    </cfRule>
  </conditionalFormatting>
  <conditionalFormatting sqref="AE3:AF3">
    <cfRule type="cellIs" dxfId="24" priority="17" operator="greaterThan">
      <formula>0.00001</formula>
    </cfRule>
  </conditionalFormatting>
  <conditionalFormatting sqref="AM3:AM33">
    <cfRule type="cellIs" dxfId="23" priority="14" operator="greaterThan">
      <formula>0.0005</formula>
    </cfRule>
  </conditionalFormatting>
  <conditionalFormatting sqref="AI3:AL33">
    <cfRule type="cellIs" dxfId="22" priority="1" stopIfTrue="1" operator="greaterThan">
      <formula>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 tint="0.59999389629810485"/>
  </sheetPr>
  <dimension ref="A1:Y148"/>
  <sheetViews>
    <sheetView zoomScaleNormal="100" workbookViewId="0"/>
  </sheetViews>
  <sheetFormatPr defaultColWidth="9.28515625" defaultRowHeight="11.25" x14ac:dyDescent="0.2"/>
  <cols>
    <col min="1" max="1" width="7.7109375" style="254" customWidth="1"/>
    <col min="2" max="2" width="13.85546875" style="226" customWidth="1"/>
    <col min="3" max="3" width="9" style="120" customWidth="1"/>
    <col min="4" max="10" width="7.7109375" style="221" customWidth="1"/>
    <col min="11" max="18" width="7.7109375" style="223" customWidth="1"/>
    <col min="19" max="255" width="9.28515625" style="223"/>
    <col min="256" max="256" width="7.7109375" style="223" customWidth="1"/>
    <col min="257" max="257" width="13.85546875" style="223" customWidth="1"/>
    <col min="258" max="258" width="9" style="223" customWidth="1"/>
    <col min="259" max="274" width="7.7109375" style="223" customWidth="1"/>
    <col min="275" max="511" width="9.28515625" style="223"/>
    <col min="512" max="512" width="7.7109375" style="223" customWidth="1"/>
    <col min="513" max="513" width="13.85546875" style="223" customWidth="1"/>
    <col min="514" max="514" width="9" style="223" customWidth="1"/>
    <col min="515" max="530" width="7.7109375" style="223" customWidth="1"/>
    <col min="531" max="767" width="9.28515625" style="223"/>
    <col min="768" max="768" width="7.7109375" style="223" customWidth="1"/>
    <col min="769" max="769" width="13.85546875" style="223" customWidth="1"/>
    <col min="770" max="770" width="9" style="223" customWidth="1"/>
    <col min="771" max="786" width="7.7109375" style="223" customWidth="1"/>
    <col min="787" max="1023" width="9.28515625" style="223"/>
    <col min="1024" max="1024" width="7.7109375" style="223" customWidth="1"/>
    <col min="1025" max="1025" width="13.85546875" style="223" customWidth="1"/>
    <col min="1026" max="1026" width="9" style="223" customWidth="1"/>
    <col min="1027" max="1042" width="7.7109375" style="223" customWidth="1"/>
    <col min="1043" max="1279" width="9.28515625" style="223"/>
    <col min="1280" max="1280" width="7.7109375" style="223" customWidth="1"/>
    <col min="1281" max="1281" width="13.85546875" style="223" customWidth="1"/>
    <col min="1282" max="1282" width="9" style="223" customWidth="1"/>
    <col min="1283" max="1298" width="7.7109375" style="223" customWidth="1"/>
    <col min="1299" max="1535" width="9.28515625" style="223"/>
    <col min="1536" max="1536" width="7.7109375" style="223" customWidth="1"/>
    <col min="1537" max="1537" width="13.85546875" style="223" customWidth="1"/>
    <col min="1538" max="1538" width="9" style="223" customWidth="1"/>
    <col min="1539" max="1554" width="7.7109375" style="223" customWidth="1"/>
    <col min="1555" max="1791" width="9.28515625" style="223"/>
    <col min="1792" max="1792" width="7.7109375" style="223" customWidth="1"/>
    <col min="1793" max="1793" width="13.85546875" style="223" customWidth="1"/>
    <col min="1794" max="1794" width="9" style="223" customWidth="1"/>
    <col min="1795" max="1810" width="7.7109375" style="223" customWidth="1"/>
    <col min="1811" max="2047" width="9.28515625" style="223"/>
    <col min="2048" max="2048" width="7.7109375" style="223" customWidth="1"/>
    <col min="2049" max="2049" width="13.85546875" style="223" customWidth="1"/>
    <col min="2050" max="2050" width="9" style="223" customWidth="1"/>
    <col min="2051" max="2066" width="7.7109375" style="223" customWidth="1"/>
    <col min="2067" max="2303" width="9.28515625" style="223"/>
    <col min="2304" max="2304" width="7.7109375" style="223" customWidth="1"/>
    <col min="2305" max="2305" width="13.85546875" style="223" customWidth="1"/>
    <col min="2306" max="2306" width="9" style="223" customWidth="1"/>
    <col min="2307" max="2322" width="7.7109375" style="223" customWidth="1"/>
    <col min="2323" max="2559" width="9.28515625" style="223"/>
    <col min="2560" max="2560" width="7.7109375" style="223" customWidth="1"/>
    <col min="2561" max="2561" width="13.85546875" style="223" customWidth="1"/>
    <col min="2562" max="2562" width="9" style="223" customWidth="1"/>
    <col min="2563" max="2578" width="7.7109375" style="223" customWidth="1"/>
    <col min="2579" max="2815" width="9.28515625" style="223"/>
    <col min="2816" max="2816" width="7.7109375" style="223" customWidth="1"/>
    <col min="2817" max="2817" width="13.85546875" style="223" customWidth="1"/>
    <col min="2818" max="2818" width="9" style="223" customWidth="1"/>
    <col min="2819" max="2834" width="7.7109375" style="223" customWidth="1"/>
    <col min="2835" max="3071" width="9.28515625" style="223"/>
    <col min="3072" max="3072" width="7.7109375" style="223" customWidth="1"/>
    <col min="3073" max="3073" width="13.85546875" style="223" customWidth="1"/>
    <col min="3074" max="3074" width="9" style="223" customWidth="1"/>
    <col min="3075" max="3090" width="7.7109375" style="223" customWidth="1"/>
    <col min="3091" max="3327" width="9.28515625" style="223"/>
    <col min="3328" max="3328" width="7.7109375" style="223" customWidth="1"/>
    <col min="3329" max="3329" width="13.85546875" style="223" customWidth="1"/>
    <col min="3330" max="3330" width="9" style="223" customWidth="1"/>
    <col min="3331" max="3346" width="7.7109375" style="223" customWidth="1"/>
    <col min="3347" max="3583" width="9.28515625" style="223"/>
    <col min="3584" max="3584" width="7.7109375" style="223" customWidth="1"/>
    <col min="3585" max="3585" width="13.85546875" style="223" customWidth="1"/>
    <col min="3586" max="3586" width="9" style="223" customWidth="1"/>
    <col min="3587" max="3602" width="7.7109375" style="223" customWidth="1"/>
    <col min="3603" max="3839" width="9.28515625" style="223"/>
    <col min="3840" max="3840" width="7.7109375" style="223" customWidth="1"/>
    <col min="3841" max="3841" width="13.85546875" style="223" customWidth="1"/>
    <col min="3842" max="3842" width="9" style="223" customWidth="1"/>
    <col min="3843" max="3858" width="7.7109375" style="223" customWidth="1"/>
    <col min="3859" max="4095" width="9.28515625" style="223"/>
    <col min="4096" max="4096" width="7.7109375" style="223" customWidth="1"/>
    <col min="4097" max="4097" width="13.85546875" style="223" customWidth="1"/>
    <col min="4098" max="4098" width="9" style="223" customWidth="1"/>
    <col min="4099" max="4114" width="7.7109375" style="223" customWidth="1"/>
    <col min="4115" max="4351" width="9.28515625" style="223"/>
    <col min="4352" max="4352" width="7.7109375" style="223" customWidth="1"/>
    <col min="4353" max="4353" width="13.85546875" style="223" customWidth="1"/>
    <col min="4354" max="4354" width="9" style="223" customWidth="1"/>
    <col min="4355" max="4370" width="7.7109375" style="223" customWidth="1"/>
    <col min="4371" max="4607" width="9.28515625" style="223"/>
    <col min="4608" max="4608" width="7.7109375" style="223" customWidth="1"/>
    <col min="4609" max="4609" width="13.85546875" style="223" customWidth="1"/>
    <col min="4610" max="4610" width="9" style="223" customWidth="1"/>
    <col min="4611" max="4626" width="7.7109375" style="223" customWidth="1"/>
    <col min="4627" max="4863" width="9.28515625" style="223"/>
    <col min="4864" max="4864" width="7.7109375" style="223" customWidth="1"/>
    <col min="4865" max="4865" width="13.85546875" style="223" customWidth="1"/>
    <col min="4866" max="4866" width="9" style="223" customWidth="1"/>
    <col min="4867" max="4882" width="7.7109375" style="223" customWidth="1"/>
    <col min="4883" max="5119" width="9.28515625" style="223"/>
    <col min="5120" max="5120" width="7.7109375" style="223" customWidth="1"/>
    <col min="5121" max="5121" width="13.85546875" style="223" customWidth="1"/>
    <col min="5122" max="5122" width="9" style="223" customWidth="1"/>
    <col min="5123" max="5138" width="7.7109375" style="223" customWidth="1"/>
    <col min="5139" max="5375" width="9.28515625" style="223"/>
    <col min="5376" max="5376" width="7.7109375" style="223" customWidth="1"/>
    <col min="5377" max="5377" width="13.85546875" style="223" customWidth="1"/>
    <col min="5378" max="5378" width="9" style="223" customWidth="1"/>
    <col min="5379" max="5394" width="7.7109375" style="223" customWidth="1"/>
    <col min="5395" max="5631" width="9.28515625" style="223"/>
    <col min="5632" max="5632" width="7.7109375" style="223" customWidth="1"/>
    <col min="5633" max="5633" width="13.85546875" style="223" customWidth="1"/>
    <col min="5634" max="5634" width="9" style="223" customWidth="1"/>
    <col min="5635" max="5650" width="7.7109375" style="223" customWidth="1"/>
    <col min="5651" max="5887" width="9.28515625" style="223"/>
    <col min="5888" max="5888" width="7.7109375" style="223" customWidth="1"/>
    <col min="5889" max="5889" width="13.85546875" style="223" customWidth="1"/>
    <col min="5890" max="5890" width="9" style="223" customWidth="1"/>
    <col min="5891" max="5906" width="7.7109375" style="223" customWidth="1"/>
    <col min="5907" max="6143" width="9.28515625" style="223"/>
    <col min="6144" max="6144" width="7.7109375" style="223" customWidth="1"/>
    <col min="6145" max="6145" width="13.85546875" style="223" customWidth="1"/>
    <col min="6146" max="6146" width="9" style="223" customWidth="1"/>
    <col min="6147" max="6162" width="7.7109375" style="223" customWidth="1"/>
    <col min="6163" max="6399" width="9.28515625" style="223"/>
    <col min="6400" max="6400" width="7.7109375" style="223" customWidth="1"/>
    <col min="6401" max="6401" width="13.85546875" style="223" customWidth="1"/>
    <col min="6402" max="6402" width="9" style="223" customWidth="1"/>
    <col min="6403" max="6418" width="7.7109375" style="223" customWidth="1"/>
    <col min="6419" max="6655" width="9.28515625" style="223"/>
    <col min="6656" max="6656" width="7.7109375" style="223" customWidth="1"/>
    <col min="6657" max="6657" width="13.85546875" style="223" customWidth="1"/>
    <col min="6658" max="6658" width="9" style="223" customWidth="1"/>
    <col min="6659" max="6674" width="7.7109375" style="223" customWidth="1"/>
    <col min="6675" max="6911" width="9.28515625" style="223"/>
    <col min="6912" max="6912" width="7.7109375" style="223" customWidth="1"/>
    <col min="6913" max="6913" width="13.85546875" style="223" customWidth="1"/>
    <col min="6914" max="6914" width="9" style="223" customWidth="1"/>
    <col min="6915" max="6930" width="7.7109375" style="223" customWidth="1"/>
    <col min="6931" max="7167" width="9.28515625" style="223"/>
    <col min="7168" max="7168" width="7.7109375" style="223" customWidth="1"/>
    <col min="7169" max="7169" width="13.85546875" style="223" customWidth="1"/>
    <col min="7170" max="7170" width="9" style="223" customWidth="1"/>
    <col min="7171" max="7186" width="7.7109375" style="223" customWidth="1"/>
    <col min="7187" max="7423" width="9.28515625" style="223"/>
    <col min="7424" max="7424" width="7.7109375" style="223" customWidth="1"/>
    <col min="7425" max="7425" width="13.85546875" style="223" customWidth="1"/>
    <col min="7426" max="7426" width="9" style="223" customWidth="1"/>
    <col min="7427" max="7442" width="7.7109375" style="223" customWidth="1"/>
    <col min="7443" max="7679" width="9.28515625" style="223"/>
    <col min="7680" max="7680" width="7.7109375" style="223" customWidth="1"/>
    <col min="7681" max="7681" width="13.85546875" style="223" customWidth="1"/>
    <col min="7682" max="7682" width="9" style="223" customWidth="1"/>
    <col min="7683" max="7698" width="7.7109375" style="223" customWidth="1"/>
    <col min="7699" max="7935" width="9.28515625" style="223"/>
    <col min="7936" max="7936" width="7.7109375" style="223" customWidth="1"/>
    <col min="7937" max="7937" width="13.85546875" style="223" customWidth="1"/>
    <col min="7938" max="7938" width="9" style="223" customWidth="1"/>
    <col min="7939" max="7954" width="7.7109375" style="223" customWidth="1"/>
    <col min="7955" max="8191" width="9.28515625" style="223"/>
    <col min="8192" max="8192" width="7.7109375" style="223" customWidth="1"/>
    <col min="8193" max="8193" width="13.85546875" style="223" customWidth="1"/>
    <col min="8194" max="8194" width="9" style="223" customWidth="1"/>
    <col min="8195" max="8210" width="7.7109375" style="223" customWidth="1"/>
    <col min="8211" max="8447" width="9.28515625" style="223"/>
    <col min="8448" max="8448" width="7.7109375" style="223" customWidth="1"/>
    <col min="8449" max="8449" width="13.85546875" style="223" customWidth="1"/>
    <col min="8450" max="8450" width="9" style="223" customWidth="1"/>
    <col min="8451" max="8466" width="7.7109375" style="223" customWidth="1"/>
    <col min="8467" max="8703" width="9.28515625" style="223"/>
    <col min="8704" max="8704" width="7.7109375" style="223" customWidth="1"/>
    <col min="8705" max="8705" width="13.85546875" style="223" customWidth="1"/>
    <col min="8706" max="8706" width="9" style="223" customWidth="1"/>
    <col min="8707" max="8722" width="7.7109375" style="223" customWidth="1"/>
    <col min="8723" max="8959" width="9.28515625" style="223"/>
    <col min="8960" max="8960" width="7.7109375" style="223" customWidth="1"/>
    <col min="8961" max="8961" width="13.85546875" style="223" customWidth="1"/>
    <col min="8962" max="8962" width="9" style="223" customWidth="1"/>
    <col min="8963" max="8978" width="7.7109375" style="223" customWidth="1"/>
    <col min="8979" max="9215" width="9.28515625" style="223"/>
    <col min="9216" max="9216" width="7.7109375" style="223" customWidth="1"/>
    <col min="9217" max="9217" width="13.85546875" style="223" customWidth="1"/>
    <col min="9218" max="9218" width="9" style="223" customWidth="1"/>
    <col min="9219" max="9234" width="7.7109375" style="223" customWidth="1"/>
    <col min="9235" max="9471" width="9.28515625" style="223"/>
    <col min="9472" max="9472" width="7.7109375" style="223" customWidth="1"/>
    <col min="9473" max="9473" width="13.85546875" style="223" customWidth="1"/>
    <col min="9474" max="9474" width="9" style="223" customWidth="1"/>
    <col min="9475" max="9490" width="7.7109375" style="223" customWidth="1"/>
    <col min="9491" max="9727" width="9.28515625" style="223"/>
    <col min="9728" max="9728" width="7.7109375" style="223" customWidth="1"/>
    <col min="9729" max="9729" width="13.85546875" style="223" customWidth="1"/>
    <col min="9730" max="9730" width="9" style="223" customWidth="1"/>
    <col min="9731" max="9746" width="7.7109375" style="223" customWidth="1"/>
    <col min="9747" max="9983" width="9.28515625" style="223"/>
    <col min="9984" max="9984" width="7.7109375" style="223" customWidth="1"/>
    <col min="9985" max="9985" width="13.85546875" style="223" customWidth="1"/>
    <col min="9986" max="9986" width="9" style="223" customWidth="1"/>
    <col min="9987" max="10002" width="7.7109375" style="223" customWidth="1"/>
    <col min="10003" max="10239" width="9.28515625" style="223"/>
    <col min="10240" max="10240" width="7.7109375" style="223" customWidth="1"/>
    <col min="10241" max="10241" width="13.85546875" style="223" customWidth="1"/>
    <col min="10242" max="10242" width="9" style="223" customWidth="1"/>
    <col min="10243" max="10258" width="7.7109375" style="223" customWidth="1"/>
    <col min="10259" max="10495" width="9.28515625" style="223"/>
    <col min="10496" max="10496" width="7.7109375" style="223" customWidth="1"/>
    <col min="10497" max="10497" width="13.85546875" style="223" customWidth="1"/>
    <col min="10498" max="10498" width="9" style="223" customWidth="1"/>
    <col min="10499" max="10514" width="7.7109375" style="223" customWidth="1"/>
    <col min="10515" max="10751" width="9.28515625" style="223"/>
    <col min="10752" max="10752" width="7.7109375" style="223" customWidth="1"/>
    <col min="10753" max="10753" width="13.85546875" style="223" customWidth="1"/>
    <col min="10754" max="10754" width="9" style="223" customWidth="1"/>
    <col min="10755" max="10770" width="7.7109375" style="223" customWidth="1"/>
    <col min="10771" max="11007" width="9.28515625" style="223"/>
    <col min="11008" max="11008" width="7.7109375" style="223" customWidth="1"/>
    <col min="11009" max="11009" width="13.85546875" style="223" customWidth="1"/>
    <col min="11010" max="11010" width="9" style="223" customWidth="1"/>
    <col min="11011" max="11026" width="7.7109375" style="223" customWidth="1"/>
    <col min="11027" max="11263" width="9.28515625" style="223"/>
    <col min="11264" max="11264" width="7.7109375" style="223" customWidth="1"/>
    <col min="11265" max="11265" width="13.85546875" style="223" customWidth="1"/>
    <col min="11266" max="11266" width="9" style="223" customWidth="1"/>
    <col min="11267" max="11282" width="7.7109375" style="223" customWidth="1"/>
    <col min="11283" max="11519" width="9.28515625" style="223"/>
    <col min="11520" max="11520" width="7.7109375" style="223" customWidth="1"/>
    <col min="11521" max="11521" width="13.85546875" style="223" customWidth="1"/>
    <col min="11522" max="11522" width="9" style="223" customWidth="1"/>
    <col min="11523" max="11538" width="7.7109375" style="223" customWidth="1"/>
    <col min="11539" max="11775" width="9.28515625" style="223"/>
    <col min="11776" max="11776" width="7.7109375" style="223" customWidth="1"/>
    <col min="11777" max="11777" width="13.85546875" style="223" customWidth="1"/>
    <col min="11778" max="11778" width="9" style="223" customWidth="1"/>
    <col min="11779" max="11794" width="7.7109375" style="223" customWidth="1"/>
    <col min="11795" max="12031" width="9.28515625" style="223"/>
    <col min="12032" max="12032" width="7.7109375" style="223" customWidth="1"/>
    <col min="12033" max="12033" width="13.85546875" style="223" customWidth="1"/>
    <col min="12034" max="12034" width="9" style="223" customWidth="1"/>
    <col min="12035" max="12050" width="7.7109375" style="223" customWidth="1"/>
    <col min="12051" max="12287" width="9.28515625" style="223"/>
    <col min="12288" max="12288" width="7.7109375" style="223" customWidth="1"/>
    <col min="12289" max="12289" width="13.85546875" style="223" customWidth="1"/>
    <col min="12290" max="12290" width="9" style="223" customWidth="1"/>
    <col min="12291" max="12306" width="7.7109375" style="223" customWidth="1"/>
    <col min="12307" max="12543" width="9.28515625" style="223"/>
    <col min="12544" max="12544" width="7.7109375" style="223" customWidth="1"/>
    <col min="12545" max="12545" width="13.85546875" style="223" customWidth="1"/>
    <col min="12546" max="12546" width="9" style="223" customWidth="1"/>
    <col min="12547" max="12562" width="7.7109375" style="223" customWidth="1"/>
    <col min="12563" max="12799" width="9.28515625" style="223"/>
    <col min="12800" max="12800" width="7.7109375" style="223" customWidth="1"/>
    <col min="12801" max="12801" width="13.85546875" style="223" customWidth="1"/>
    <col min="12802" max="12802" width="9" style="223" customWidth="1"/>
    <col min="12803" max="12818" width="7.7109375" style="223" customWidth="1"/>
    <col min="12819" max="13055" width="9.28515625" style="223"/>
    <col min="13056" max="13056" width="7.7109375" style="223" customWidth="1"/>
    <col min="13057" max="13057" width="13.85546875" style="223" customWidth="1"/>
    <col min="13058" max="13058" width="9" style="223" customWidth="1"/>
    <col min="13059" max="13074" width="7.7109375" style="223" customWidth="1"/>
    <col min="13075" max="13311" width="9.28515625" style="223"/>
    <col min="13312" max="13312" width="7.7109375" style="223" customWidth="1"/>
    <col min="13313" max="13313" width="13.85546875" style="223" customWidth="1"/>
    <col min="13314" max="13314" width="9" style="223" customWidth="1"/>
    <col min="13315" max="13330" width="7.7109375" style="223" customWidth="1"/>
    <col min="13331" max="13567" width="9.28515625" style="223"/>
    <col min="13568" max="13568" width="7.7109375" style="223" customWidth="1"/>
    <col min="13569" max="13569" width="13.85546875" style="223" customWidth="1"/>
    <col min="13570" max="13570" width="9" style="223" customWidth="1"/>
    <col min="13571" max="13586" width="7.7109375" style="223" customWidth="1"/>
    <col min="13587" max="13823" width="9.28515625" style="223"/>
    <col min="13824" max="13824" width="7.7109375" style="223" customWidth="1"/>
    <col min="13825" max="13825" width="13.85546875" style="223" customWidth="1"/>
    <col min="13826" max="13826" width="9" style="223" customWidth="1"/>
    <col min="13827" max="13842" width="7.7109375" style="223" customWidth="1"/>
    <col min="13843" max="14079" width="9.28515625" style="223"/>
    <col min="14080" max="14080" width="7.7109375" style="223" customWidth="1"/>
    <col min="14081" max="14081" width="13.85546875" style="223" customWidth="1"/>
    <col min="14082" max="14082" width="9" style="223" customWidth="1"/>
    <col min="14083" max="14098" width="7.7109375" style="223" customWidth="1"/>
    <col min="14099" max="14335" width="9.28515625" style="223"/>
    <col min="14336" max="14336" width="7.7109375" style="223" customWidth="1"/>
    <col min="14337" max="14337" width="13.85546875" style="223" customWidth="1"/>
    <col min="14338" max="14338" width="9" style="223" customWidth="1"/>
    <col min="14339" max="14354" width="7.7109375" style="223" customWidth="1"/>
    <col min="14355" max="14591" width="9.28515625" style="223"/>
    <col min="14592" max="14592" width="7.7109375" style="223" customWidth="1"/>
    <col min="14593" max="14593" width="13.85546875" style="223" customWidth="1"/>
    <col min="14594" max="14594" width="9" style="223" customWidth="1"/>
    <col min="14595" max="14610" width="7.7109375" style="223" customWidth="1"/>
    <col min="14611" max="14847" width="9.28515625" style="223"/>
    <col min="14848" max="14848" width="7.7109375" style="223" customWidth="1"/>
    <col min="14849" max="14849" width="13.85546875" style="223" customWidth="1"/>
    <col min="14850" max="14850" width="9" style="223" customWidth="1"/>
    <col min="14851" max="14866" width="7.7109375" style="223" customWidth="1"/>
    <col min="14867" max="15103" width="9.28515625" style="223"/>
    <col min="15104" max="15104" width="7.7109375" style="223" customWidth="1"/>
    <col min="15105" max="15105" width="13.85546875" style="223" customWidth="1"/>
    <col min="15106" max="15106" width="9" style="223" customWidth="1"/>
    <col min="15107" max="15122" width="7.7109375" style="223" customWidth="1"/>
    <col min="15123" max="15359" width="9.28515625" style="223"/>
    <col min="15360" max="15360" width="7.7109375" style="223" customWidth="1"/>
    <col min="15361" max="15361" width="13.85546875" style="223" customWidth="1"/>
    <col min="15362" max="15362" width="9" style="223" customWidth="1"/>
    <col min="15363" max="15378" width="7.7109375" style="223" customWidth="1"/>
    <col min="15379" max="15615" width="9.28515625" style="223"/>
    <col min="15616" max="15616" width="7.7109375" style="223" customWidth="1"/>
    <col min="15617" max="15617" width="13.85546875" style="223" customWidth="1"/>
    <col min="15618" max="15618" width="9" style="223" customWidth="1"/>
    <col min="15619" max="15634" width="7.7109375" style="223" customWidth="1"/>
    <col min="15635" max="15871" width="9.28515625" style="223"/>
    <col min="15872" max="15872" width="7.7109375" style="223" customWidth="1"/>
    <col min="15873" max="15873" width="13.85546875" style="223" customWidth="1"/>
    <col min="15874" max="15874" width="9" style="223" customWidth="1"/>
    <col min="15875" max="15890" width="7.7109375" style="223" customWidth="1"/>
    <col min="15891" max="16127" width="9.28515625" style="223"/>
    <col min="16128" max="16128" width="7.7109375" style="223" customWidth="1"/>
    <col min="16129" max="16129" width="13.85546875" style="223" customWidth="1"/>
    <col min="16130" max="16130" width="9" style="223" customWidth="1"/>
    <col min="16131" max="16146" width="7.7109375" style="223" customWidth="1"/>
    <col min="16147" max="16384" width="9.28515625" style="223"/>
  </cols>
  <sheetData>
    <row r="1" spans="1:21" ht="12" x14ac:dyDescent="0.2">
      <c r="A1" s="253" t="s">
        <v>52</v>
      </c>
      <c r="B1" s="222" t="e">
        <f>'1 Pattern 10min  Chart Reading'!B2</f>
        <v>#N/A</v>
      </c>
      <c r="K1" s="221"/>
      <c r="N1" s="223" t="s">
        <v>199</v>
      </c>
      <c r="O1" s="223" t="s">
        <v>200</v>
      </c>
    </row>
    <row r="2" spans="1:21" s="225" customFormat="1" x14ac:dyDescent="0.2">
      <c r="A2" s="253" t="s">
        <v>53</v>
      </c>
      <c r="B2" s="226" t="s">
        <v>54</v>
      </c>
      <c r="C2" s="97" t="s">
        <v>201</v>
      </c>
      <c r="D2" s="97" t="s">
        <v>202</v>
      </c>
      <c r="E2" s="97" t="s">
        <v>203</v>
      </c>
      <c r="F2" s="97" t="s">
        <v>204</v>
      </c>
      <c r="G2" s="97" t="s">
        <v>205</v>
      </c>
      <c r="H2" s="97" t="s">
        <v>206</v>
      </c>
      <c r="I2" s="97" t="s">
        <v>207</v>
      </c>
      <c r="J2" s="97" t="s">
        <v>208</v>
      </c>
      <c r="K2" s="97" t="s">
        <v>209</v>
      </c>
      <c r="L2" s="97" t="s">
        <v>210</v>
      </c>
      <c r="U2" s="96"/>
    </row>
    <row r="3" spans="1:21" x14ac:dyDescent="0.2">
      <c r="A3" s="252">
        <v>800</v>
      </c>
      <c r="B3" s="226">
        <f>'1 Pattern 10min  Chart Reading'!B4</f>
        <v>0</v>
      </c>
      <c r="C3" s="95" t="e">
        <f>$B$1*B3</f>
        <v>#N/A</v>
      </c>
      <c r="D3" s="96"/>
      <c r="E3" s="96"/>
      <c r="F3" s="96"/>
      <c r="G3" s="96"/>
      <c r="H3" s="96"/>
      <c r="I3" s="96"/>
      <c r="J3" s="96"/>
      <c r="K3" s="98"/>
      <c r="L3" s="98"/>
      <c r="N3" s="227" t="str">
        <f>IF(B3="","fill","")</f>
        <v/>
      </c>
      <c r="O3" s="228" t="str">
        <f>IF(D3&lt;0,"neg","")</f>
        <v/>
      </c>
      <c r="U3" s="96"/>
    </row>
    <row r="4" spans="1:21" x14ac:dyDescent="0.2">
      <c r="A4" s="252">
        <v>810</v>
      </c>
      <c r="B4" s="226">
        <f>'1 Pattern 10min  Chart Reading'!B5</f>
        <v>0</v>
      </c>
      <c r="C4" s="95" t="e">
        <f t="shared" ref="C4:C66" si="0">$B$1*B4</f>
        <v>#N/A</v>
      </c>
      <c r="D4" s="96" t="e">
        <f>C4-C3</f>
        <v>#N/A</v>
      </c>
      <c r="E4" s="96"/>
      <c r="F4" s="96"/>
      <c r="G4" s="96"/>
      <c r="H4" s="96"/>
      <c r="I4" s="96"/>
      <c r="J4" s="96"/>
      <c r="K4" s="98"/>
      <c r="L4" s="98"/>
      <c r="N4" s="227" t="str">
        <f t="shared" ref="N4:N67" si="1">IF(B4="","fill","")</f>
        <v/>
      </c>
      <c r="O4" s="228" t="e">
        <f t="shared" ref="O4:O67" si="2">IF(D4&lt;0,"neg","")</f>
        <v>#N/A</v>
      </c>
      <c r="U4" s="96"/>
    </row>
    <row r="5" spans="1:21" x14ac:dyDescent="0.2">
      <c r="A5" s="252">
        <v>820</v>
      </c>
      <c r="B5" s="226">
        <f>'1 Pattern 10min  Chart Reading'!B6</f>
        <v>0</v>
      </c>
      <c r="C5" s="95" t="e">
        <f t="shared" si="0"/>
        <v>#N/A</v>
      </c>
      <c r="D5" s="96" t="e">
        <f t="shared" ref="D5:D68" si="3">C5-C4</f>
        <v>#N/A</v>
      </c>
      <c r="E5" s="96" t="e">
        <f>C5-C3</f>
        <v>#N/A</v>
      </c>
      <c r="F5" s="96"/>
      <c r="G5" s="96"/>
      <c r="H5" s="96"/>
      <c r="I5" s="96"/>
      <c r="J5" s="96"/>
      <c r="K5" s="98"/>
      <c r="L5" s="98"/>
      <c r="N5" s="227" t="str">
        <f t="shared" si="1"/>
        <v/>
      </c>
      <c r="O5" s="228" t="e">
        <f t="shared" si="2"/>
        <v>#N/A</v>
      </c>
      <c r="U5" s="96"/>
    </row>
    <row r="6" spans="1:21" x14ac:dyDescent="0.2">
      <c r="A6" s="252">
        <v>830</v>
      </c>
      <c r="B6" s="226">
        <f>'1 Pattern 10min  Chart Reading'!B7</f>
        <v>0</v>
      </c>
      <c r="C6" s="95" t="e">
        <f t="shared" si="0"/>
        <v>#N/A</v>
      </c>
      <c r="D6" s="96" t="e">
        <f t="shared" si="3"/>
        <v>#N/A</v>
      </c>
      <c r="E6" s="96" t="e">
        <f>C6-C4</f>
        <v>#N/A</v>
      </c>
      <c r="F6" s="96" t="e">
        <f>C6-C3</f>
        <v>#N/A</v>
      </c>
      <c r="G6" s="96"/>
      <c r="H6" s="96"/>
      <c r="I6" s="96"/>
      <c r="J6" s="96"/>
      <c r="K6" s="98"/>
      <c r="L6" s="98"/>
      <c r="N6" s="227" t="str">
        <f t="shared" si="1"/>
        <v/>
      </c>
      <c r="O6" s="228" t="e">
        <f t="shared" si="2"/>
        <v>#N/A</v>
      </c>
      <c r="U6" s="96"/>
    </row>
    <row r="7" spans="1:21" x14ac:dyDescent="0.2">
      <c r="A7" s="252">
        <v>840</v>
      </c>
      <c r="B7" s="226">
        <f>'1 Pattern 10min  Chart Reading'!B8</f>
        <v>0</v>
      </c>
      <c r="C7" s="95" t="e">
        <f t="shared" si="0"/>
        <v>#N/A</v>
      </c>
      <c r="D7" s="96" t="e">
        <f t="shared" si="3"/>
        <v>#N/A</v>
      </c>
      <c r="E7" s="96" t="e">
        <f t="shared" ref="E7:E70" si="4">C7-C5</f>
        <v>#N/A</v>
      </c>
      <c r="F7" s="96" t="e">
        <f t="shared" ref="F7:F70" si="5">C7-C4</f>
        <v>#N/A</v>
      </c>
      <c r="G7" s="96"/>
      <c r="H7" s="96"/>
      <c r="I7" s="96"/>
      <c r="J7" s="96"/>
      <c r="K7" s="98"/>
      <c r="L7" s="98"/>
      <c r="N7" s="227" t="str">
        <f t="shared" si="1"/>
        <v/>
      </c>
      <c r="O7" s="228" t="e">
        <f t="shared" si="2"/>
        <v>#N/A</v>
      </c>
      <c r="U7" s="96"/>
    </row>
    <row r="8" spans="1:21" x14ac:dyDescent="0.2">
      <c r="A8" s="252">
        <v>850</v>
      </c>
      <c r="B8" s="226">
        <f>'1 Pattern 10min  Chart Reading'!B9</f>
        <v>0</v>
      </c>
      <c r="C8" s="95" t="e">
        <f t="shared" si="0"/>
        <v>#N/A</v>
      </c>
      <c r="D8" s="96" t="e">
        <f t="shared" si="3"/>
        <v>#N/A</v>
      </c>
      <c r="E8" s="96" t="e">
        <f t="shared" si="4"/>
        <v>#N/A</v>
      </c>
      <c r="F8" s="96" t="e">
        <f t="shared" si="5"/>
        <v>#N/A</v>
      </c>
      <c r="G8" s="96"/>
      <c r="H8" s="96"/>
      <c r="I8" s="96"/>
      <c r="J8" s="96"/>
      <c r="K8" s="98"/>
      <c r="L8" s="98"/>
      <c r="N8" s="227" t="str">
        <f t="shared" si="1"/>
        <v/>
      </c>
      <c r="O8" s="228" t="e">
        <f t="shared" si="2"/>
        <v>#N/A</v>
      </c>
      <c r="U8" s="96"/>
    </row>
    <row r="9" spans="1:21" x14ac:dyDescent="0.2">
      <c r="A9" s="252">
        <v>900</v>
      </c>
      <c r="B9" s="226">
        <f>'1 Pattern 10min  Chart Reading'!B10</f>
        <v>0</v>
      </c>
      <c r="C9" s="95" t="e">
        <f t="shared" si="0"/>
        <v>#N/A</v>
      </c>
      <c r="D9" s="96" t="e">
        <f t="shared" si="3"/>
        <v>#N/A</v>
      </c>
      <c r="E9" s="96" t="e">
        <f t="shared" si="4"/>
        <v>#N/A</v>
      </c>
      <c r="F9" s="96" t="e">
        <f t="shared" si="5"/>
        <v>#N/A</v>
      </c>
      <c r="G9" s="96" t="e">
        <f>C9-C3</f>
        <v>#N/A</v>
      </c>
      <c r="H9" s="96"/>
      <c r="I9" s="96"/>
      <c r="J9" s="96"/>
      <c r="K9" s="98"/>
      <c r="L9" s="98"/>
      <c r="N9" s="227" t="str">
        <f t="shared" si="1"/>
        <v/>
      </c>
      <c r="O9" s="228" t="e">
        <f t="shared" si="2"/>
        <v>#N/A</v>
      </c>
      <c r="U9" s="96"/>
    </row>
    <row r="10" spans="1:21" x14ac:dyDescent="0.2">
      <c r="A10" s="252">
        <v>910</v>
      </c>
      <c r="B10" s="226">
        <f>'1 Pattern 10min  Chart Reading'!B11</f>
        <v>0</v>
      </c>
      <c r="C10" s="95" t="e">
        <f t="shared" si="0"/>
        <v>#N/A</v>
      </c>
      <c r="D10" s="96" t="e">
        <f t="shared" si="3"/>
        <v>#N/A</v>
      </c>
      <c r="E10" s="96" t="e">
        <f t="shared" si="4"/>
        <v>#N/A</v>
      </c>
      <c r="F10" s="96" t="e">
        <f t="shared" si="5"/>
        <v>#N/A</v>
      </c>
      <c r="G10" s="96" t="e">
        <f t="shared" ref="G10:G73" si="6">C10-C4</f>
        <v>#N/A</v>
      </c>
      <c r="H10" s="96"/>
      <c r="I10" s="96"/>
      <c r="J10" s="96"/>
      <c r="K10" s="98"/>
      <c r="L10" s="98"/>
      <c r="N10" s="227" t="str">
        <f t="shared" si="1"/>
        <v/>
      </c>
      <c r="O10" s="228" t="e">
        <f t="shared" si="2"/>
        <v>#N/A</v>
      </c>
      <c r="U10" s="96"/>
    </row>
    <row r="11" spans="1:21" x14ac:dyDescent="0.2">
      <c r="A11" s="252">
        <v>920</v>
      </c>
      <c r="B11" s="226">
        <f>'1 Pattern 10min  Chart Reading'!B12</f>
        <v>0</v>
      </c>
      <c r="C11" s="95" t="e">
        <f t="shared" si="0"/>
        <v>#N/A</v>
      </c>
      <c r="D11" s="96" t="e">
        <f t="shared" si="3"/>
        <v>#N/A</v>
      </c>
      <c r="E11" s="96" t="e">
        <f t="shared" si="4"/>
        <v>#N/A</v>
      </c>
      <c r="F11" s="96" t="e">
        <f t="shared" si="5"/>
        <v>#N/A</v>
      </c>
      <c r="G11" s="96" t="e">
        <f t="shared" si="6"/>
        <v>#N/A</v>
      </c>
      <c r="H11" s="96"/>
      <c r="I11" s="96"/>
      <c r="J11" s="96"/>
      <c r="K11" s="98"/>
      <c r="L11" s="98"/>
      <c r="N11" s="227" t="str">
        <f t="shared" si="1"/>
        <v/>
      </c>
      <c r="O11" s="228" t="e">
        <f t="shared" si="2"/>
        <v>#N/A</v>
      </c>
      <c r="U11" s="96"/>
    </row>
    <row r="12" spans="1:21" x14ac:dyDescent="0.2">
      <c r="A12" s="252">
        <v>930</v>
      </c>
      <c r="B12" s="226">
        <f>'1 Pattern 10min  Chart Reading'!B13</f>
        <v>0</v>
      </c>
      <c r="C12" s="95" t="e">
        <f t="shared" si="0"/>
        <v>#N/A</v>
      </c>
      <c r="D12" s="96" t="e">
        <f t="shared" si="3"/>
        <v>#N/A</v>
      </c>
      <c r="E12" s="96" t="e">
        <f t="shared" si="4"/>
        <v>#N/A</v>
      </c>
      <c r="F12" s="96" t="e">
        <f t="shared" si="5"/>
        <v>#N/A</v>
      </c>
      <c r="G12" s="96" t="e">
        <f t="shared" si="6"/>
        <v>#N/A</v>
      </c>
      <c r="H12" s="96"/>
      <c r="I12" s="96"/>
      <c r="J12" s="96"/>
      <c r="K12" s="98"/>
      <c r="L12" s="98"/>
      <c r="N12" s="227" t="str">
        <f t="shared" si="1"/>
        <v/>
      </c>
      <c r="O12" s="228" t="e">
        <f t="shared" si="2"/>
        <v>#N/A</v>
      </c>
      <c r="U12" s="96"/>
    </row>
    <row r="13" spans="1:21" x14ac:dyDescent="0.2">
      <c r="A13" s="252">
        <v>940</v>
      </c>
      <c r="B13" s="226">
        <f>'1 Pattern 10min  Chart Reading'!B14</f>
        <v>0</v>
      </c>
      <c r="C13" s="95" t="e">
        <f t="shared" si="0"/>
        <v>#N/A</v>
      </c>
      <c r="D13" s="96" t="e">
        <f t="shared" si="3"/>
        <v>#N/A</v>
      </c>
      <c r="E13" s="96" t="e">
        <f t="shared" si="4"/>
        <v>#N/A</v>
      </c>
      <c r="F13" s="96" t="e">
        <f t="shared" si="5"/>
        <v>#N/A</v>
      </c>
      <c r="G13" s="96" t="e">
        <f t="shared" si="6"/>
        <v>#N/A</v>
      </c>
      <c r="H13" s="96"/>
      <c r="I13" s="96"/>
      <c r="J13" s="96"/>
      <c r="K13" s="98"/>
      <c r="L13" s="98"/>
      <c r="N13" s="227" t="str">
        <f t="shared" si="1"/>
        <v/>
      </c>
      <c r="O13" s="228" t="e">
        <f t="shared" si="2"/>
        <v>#N/A</v>
      </c>
      <c r="U13" s="96"/>
    </row>
    <row r="14" spans="1:21" x14ac:dyDescent="0.2">
      <c r="A14" s="252">
        <v>950</v>
      </c>
      <c r="B14" s="226">
        <f>'1 Pattern 10min  Chart Reading'!B15</f>
        <v>0</v>
      </c>
      <c r="C14" s="95" t="e">
        <f t="shared" si="0"/>
        <v>#N/A</v>
      </c>
      <c r="D14" s="96" t="e">
        <f t="shared" si="3"/>
        <v>#N/A</v>
      </c>
      <c r="E14" s="96" t="e">
        <f t="shared" si="4"/>
        <v>#N/A</v>
      </c>
      <c r="F14" s="96" t="e">
        <f t="shared" si="5"/>
        <v>#N/A</v>
      </c>
      <c r="G14" s="96" t="e">
        <f t="shared" si="6"/>
        <v>#N/A</v>
      </c>
      <c r="H14" s="96"/>
      <c r="I14" s="96"/>
      <c r="J14" s="96"/>
      <c r="K14" s="98"/>
      <c r="L14" s="98"/>
      <c r="N14" s="227" t="str">
        <f t="shared" si="1"/>
        <v/>
      </c>
      <c r="O14" s="228" t="e">
        <f t="shared" si="2"/>
        <v>#N/A</v>
      </c>
      <c r="U14" s="96"/>
    </row>
    <row r="15" spans="1:21" x14ac:dyDescent="0.2">
      <c r="A15" s="254">
        <v>1000</v>
      </c>
      <c r="B15" s="226">
        <f>'1 Pattern 10min  Chart Reading'!B16</f>
        <v>0</v>
      </c>
      <c r="C15" s="95" t="e">
        <f t="shared" si="0"/>
        <v>#N/A</v>
      </c>
      <c r="D15" s="96" t="e">
        <f t="shared" si="3"/>
        <v>#N/A</v>
      </c>
      <c r="E15" s="96" t="e">
        <f t="shared" si="4"/>
        <v>#N/A</v>
      </c>
      <c r="F15" s="96" t="e">
        <f t="shared" si="5"/>
        <v>#N/A</v>
      </c>
      <c r="G15" s="96" t="e">
        <f t="shared" si="6"/>
        <v>#N/A</v>
      </c>
      <c r="H15" s="96" t="e">
        <f t="shared" ref="H15:H78" si="7">C15-C3</f>
        <v>#N/A</v>
      </c>
      <c r="I15" s="96"/>
      <c r="J15" s="96"/>
      <c r="K15" s="98"/>
      <c r="L15" s="98"/>
      <c r="N15" s="227" t="str">
        <f t="shared" si="1"/>
        <v/>
      </c>
      <c r="O15" s="228" t="e">
        <f t="shared" si="2"/>
        <v>#N/A</v>
      </c>
      <c r="U15" s="96"/>
    </row>
    <row r="16" spans="1:21" x14ac:dyDescent="0.2">
      <c r="A16" s="254">
        <v>1010</v>
      </c>
      <c r="B16" s="226">
        <f>'1 Pattern 10min  Chart Reading'!B17</f>
        <v>0</v>
      </c>
      <c r="C16" s="95" t="e">
        <f t="shared" si="0"/>
        <v>#N/A</v>
      </c>
      <c r="D16" s="96" t="e">
        <f t="shared" si="3"/>
        <v>#N/A</v>
      </c>
      <c r="E16" s="96" t="e">
        <f t="shared" si="4"/>
        <v>#N/A</v>
      </c>
      <c r="F16" s="96" t="e">
        <f t="shared" si="5"/>
        <v>#N/A</v>
      </c>
      <c r="G16" s="96" t="e">
        <f t="shared" si="6"/>
        <v>#N/A</v>
      </c>
      <c r="H16" s="96" t="e">
        <f t="shared" si="7"/>
        <v>#N/A</v>
      </c>
      <c r="I16" s="96"/>
      <c r="J16" s="96"/>
      <c r="K16" s="98"/>
      <c r="L16" s="98"/>
      <c r="N16" s="227" t="str">
        <f t="shared" si="1"/>
        <v/>
      </c>
      <c r="O16" s="228" t="e">
        <f t="shared" si="2"/>
        <v>#N/A</v>
      </c>
      <c r="U16" s="96"/>
    </row>
    <row r="17" spans="1:21" x14ac:dyDescent="0.2">
      <c r="A17" s="254">
        <v>1020</v>
      </c>
      <c r="B17" s="226">
        <f>'1 Pattern 10min  Chart Reading'!B18</f>
        <v>0</v>
      </c>
      <c r="C17" s="95" t="e">
        <f t="shared" si="0"/>
        <v>#N/A</v>
      </c>
      <c r="D17" s="96" t="e">
        <f t="shared" si="3"/>
        <v>#N/A</v>
      </c>
      <c r="E17" s="96" t="e">
        <f t="shared" si="4"/>
        <v>#N/A</v>
      </c>
      <c r="F17" s="96" t="e">
        <f t="shared" si="5"/>
        <v>#N/A</v>
      </c>
      <c r="G17" s="96" t="e">
        <f t="shared" si="6"/>
        <v>#N/A</v>
      </c>
      <c r="H17" s="96" t="e">
        <f t="shared" si="7"/>
        <v>#N/A</v>
      </c>
      <c r="I17" s="96"/>
      <c r="J17" s="96"/>
      <c r="K17" s="98"/>
      <c r="L17" s="98"/>
      <c r="N17" s="227" t="str">
        <f t="shared" si="1"/>
        <v/>
      </c>
      <c r="O17" s="228" t="e">
        <f t="shared" si="2"/>
        <v>#N/A</v>
      </c>
      <c r="U17" s="96"/>
    </row>
    <row r="18" spans="1:21" x14ac:dyDescent="0.2">
      <c r="A18" s="254">
        <v>1030</v>
      </c>
      <c r="B18" s="226">
        <f>'1 Pattern 10min  Chart Reading'!B19</f>
        <v>0</v>
      </c>
      <c r="C18" s="95" t="e">
        <f t="shared" si="0"/>
        <v>#N/A</v>
      </c>
      <c r="D18" s="96" t="e">
        <f t="shared" si="3"/>
        <v>#N/A</v>
      </c>
      <c r="E18" s="96" t="e">
        <f t="shared" si="4"/>
        <v>#N/A</v>
      </c>
      <c r="F18" s="96" t="e">
        <f t="shared" si="5"/>
        <v>#N/A</v>
      </c>
      <c r="G18" s="96" t="e">
        <f t="shared" si="6"/>
        <v>#N/A</v>
      </c>
      <c r="H18" s="96" t="e">
        <f t="shared" si="7"/>
        <v>#N/A</v>
      </c>
      <c r="I18" s="96"/>
      <c r="J18" s="96"/>
      <c r="K18" s="98"/>
      <c r="L18" s="98"/>
      <c r="N18" s="227" t="str">
        <f t="shared" si="1"/>
        <v/>
      </c>
      <c r="O18" s="228" t="e">
        <f t="shared" si="2"/>
        <v>#N/A</v>
      </c>
      <c r="U18" s="96"/>
    </row>
    <row r="19" spans="1:21" x14ac:dyDescent="0.2">
      <c r="A19" s="254">
        <v>1040</v>
      </c>
      <c r="B19" s="226">
        <f>'1 Pattern 10min  Chart Reading'!B20</f>
        <v>0</v>
      </c>
      <c r="C19" s="95" t="e">
        <f t="shared" si="0"/>
        <v>#N/A</v>
      </c>
      <c r="D19" s="96" t="e">
        <f t="shared" si="3"/>
        <v>#N/A</v>
      </c>
      <c r="E19" s="96" t="e">
        <f t="shared" si="4"/>
        <v>#N/A</v>
      </c>
      <c r="F19" s="96" t="e">
        <f t="shared" si="5"/>
        <v>#N/A</v>
      </c>
      <c r="G19" s="96" t="e">
        <f t="shared" si="6"/>
        <v>#N/A</v>
      </c>
      <c r="H19" s="96" t="e">
        <f t="shared" si="7"/>
        <v>#N/A</v>
      </c>
      <c r="I19" s="96"/>
      <c r="J19" s="96"/>
      <c r="K19" s="98"/>
      <c r="L19" s="98"/>
      <c r="N19" s="227" t="str">
        <f t="shared" si="1"/>
        <v/>
      </c>
      <c r="O19" s="228" t="e">
        <f t="shared" si="2"/>
        <v>#N/A</v>
      </c>
      <c r="U19" s="96"/>
    </row>
    <row r="20" spans="1:21" x14ac:dyDescent="0.2">
      <c r="A20" s="254">
        <v>1050</v>
      </c>
      <c r="B20" s="226">
        <f>'1 Pattern 10min  Chart Reading'!B21</f>
        <v>0</v>
      </c>
      <c r="C20" s="95" t="e">
        <f t="shared" si="0"/>
        <v>#N/A</v>
      </c>
      <c r="D20" s="96" t="e">
        <f t="shared" si="3"/>
        <v>#N/A</v>
      </c>
      <c r="E20" s="96" t="e">
        <f t="shared" si="4"/>
        <v>#N/A</v>
      </c>
      <c r="F20" s="96" t="e">
        <f t="shared" si="5"/>
        <v>#N/A</v>
      </c>
      <c r="G20" s="96" t="e">
        <f t="shared" si="6"/>
        <v>#N/A</v>
      </c>
      <c r="H20" s="96" t="e">
        <f t="shared" si="7"/>
        <v>#N/A</v>
      </c>
      <c r="I20" s="96"/>
      <c r="J20" s="96"/>
      <c r="K20" s="98"/>
      <c r="L20" s="98"/>
      <c r="N20" s="227" t="str">
        <f t="shared" si="1"/>
        <v/>
      </c>
      <c r="O20" s="228" t="e">
        <f t="shared" si="2"/>
        <v>#N/A</v>
      </c>
      <c r="U20" s="96"/>
    </row>
    <row r="21" spans="1:21" x14ac:dyDescent="0.2">
      <c r="A21" s="254">
        <v>1100</v>
      </c>
      <c r="B21" s="226">
        <f>'1 Pattern 10min  Chart Reading'!B22</f>
        <v>0</v>
      </c>
      <c r="C21" s="95" t="e">
        <f t="shared" si="0"/>
        <v>#N/A</v>
      </c>
      <c r="D21" s="96" t="e">
        <f t="shared" si="3"/>
        <v>#N/A</v>
      </c>
      <c r="E21" s="96" t="e">
        <f t="shared" si="4"/>
        <v>#N/A</v>
      </c>
      <c r="F21" s="96" t="e">
        <f t="shared" si="5"/>
        <v>#N/A</v>
      </c>
      <c r="G21" s="96" t="e">
        <f t="shared" si="6"/>
        <v>#N/A</v>
      </c>
      <c r="H21" s="96" t="e">
        <f t="shared" si="7"/>
        <v>#N/A</v>
      </c>
      <c r="I21" s="96" t="e">
        <f t="shared" ref="I21:I84" si="8">C21-C3</f>
        <v>#N/A</v>
      </c>
      <c r="J21" s="96"/>
      <c r="K21" s="98"/>
      <c r="L21" s="98"/>
      <c r="N21" s="227" t="str">
        <f t="shared" si="1"/>
        <v/>
      </c>
      <c r="O21" s="228" t="e">
        <f t="shared" si="2"/>
        <v>#N/A</v>
      </c>
      <c r="U21" s="96"/>
    </row>
    <row r="22" spans="1:21" x14ac:dyDescent="0.2">
      <c r="A22" s="254">
        <v>1110</v>
      </c>
      <c r="B22" s="226">
        <f>'1 Pattern 10min  Chart Reading'!B23</f>
        <v>0</v>
      </c>
      <c r="C22" s="95" t="e">
        <f t="shared" si="0"/>
        <v>#N/A</v>
      </c>
      <c r="D22" s="96" t="e">
        <f t="shared" si="3"/>
        <v>#N/A</v>
      </c>
      <c r="E22" s="96" t="e">
        <f t="shared" si="4"/>
        <v>#N/A</v>
      </c>
      <c r="F22" s="96" t="e">
        <f t="shared" si="5"/>
        <v>#N/A</v>
      </c>
      <c r="G22" s="96" t="e">
        <f t="shared" si="6"/>
        <v>#N/A</v>
      </c>
      <c r="H22" s="96" t="e">
        <f t="shared" si="7"/>
        <v>#N/A</v>
      </c>
      <c r="I22" s="96" t="e">
        <f t="shared" si="8"/>
        <v>#N/A</v>
      </c>
      <c r="J22" s="96"/>
      <c r="K22" s="98"/>
      <c r="L22" s="98"/>
      <c r="N22" s="227" t="str">
        <f t="shared" si="1"/>
        <v/>
      </c>
      <c r="O22" s="228" t="e">
        <f t="shared" si="2"/>
        <v>#N/A</v>
      </c>
      <c r="U22" s="96"/>
    </row>
    <row r="23" spans="1:21" x14ac:dyDescent="0.2">
      <c r="A23" s="254">
        <v>1120</v>
      </c>
      <c r="B23" s="226">
        <f>'1 Pattern 10min  Chart Reading'!B24</f>
        <v>0</v>
      </c>
      <c r="C23" s="95" t="e">
        <f t="shared" si="0"/>
        <v>#N/A</v>
      </c>
      <c r="D23" s="96" t="e">
        <f t="shared" si="3"/>
        <v>#N/A</v>
      </c>
      <c r="E23" s="96" t="e">
        <f t="shared" si="4"/>
        <v>#N/A</v>
      </c>
      <c r="F23" s="96" t="e">
        <f t="shared" si="5"/>
        <v>#N/A</v>
      </c>
      <c r="G23" s="96" t="e">
        <f t="shared" si="6"/>
        <v>#N/A</v>
      </c>
      <c r="H23" s="96" t="e">
        <f t="shared" si="7"/>
        <v>#N/A</v>
      </c>
      <c r="I23" s="96" t="e">
        <f t="shared" si="8"/>
        <v>#N/A</v>
      </c>
      <c r="J23" s="96"/>
      <c r="K23" s="98"/>
      <c r="L23" s="98"/>
      <c r="N23" s="227" t="str">
        <f t="shared" si="1"/>
        <v/>
      </c>
      <c r="O23" s="228" t="e">
        <f t="shared" si="2"/>
        <v>#N/A</v>
      </c>
      <c r="U23" s="96"/>
    </row>
    <row r="24" spans="1:21" x14ac:dyDescent="0.2">
      <c r="A24" s="254">
        <v>1130</v>
      </c>
      <c r="B24" s="226">
        <f>'1 Pattern 10min  Chart Reading'!B25</f>
        <v>0</v>
      </c>
      <c r="C24" s="95" t="e">
        <f t="shared" si="0"/>
        <v>#N/A</v>
      </c>
      <c r="D24" s="96" t="e">
        <f t="shared" si="3"/>
        <v>#N/A</v>
      </c>
      <c r="E24" s="96" t="e">
        <f t="shared" si="4"/>
        <v>#N/A</v>
      </c>
      <c r="F24" s="96" t="e">
        <f t="shared" si="5"/>
        <v>#N/A</v>
      </c>
      <c r="G24" s="96" t="e">
        <f t="shared" si="6"/>
        <v>#N/A</v>
      </c>
      <c r="H24" s="96" t="e">
        <f t="shared" si="7"/>
        <v>#N/A</v>
      </c>
      <c r="I24" s="96" t="e">
        <f t="shared" si="8"/>
        <v>#N/A</v>
      </c>
      <c r="J24" s="96"/>
      <c r="K24" s="98"/>
      <c r="L24" s="98"/>
      <c r="N24" s="227" t="str">
        <f t="shared" si="1"/>
        <v/>
      </c>
      <c r="O24" s="228" t="e">
        <f t="shared" si="2"/>
        <v>#N/A</v>
      </c>
      <c r="U24" s="96"/>
    </row>
    <row r="25" spans="1:21" x14ac:dyDescent="0.2">
      <c r="A25" s="254">
        <v>1140</v>
      </c>
      <c r="B25" s="226">
        <f>'1 Pattern 10min  Chart Reading'!B26</f>
        <v>0</v>
      </c>
      <c r="C25" s="95" t="e">
        <f t="shared" si="0"/>
        <v>#N/A</v>
      </c>
      <c r="D25" s="96" t="e">
        <f t="shared" si="3"/>
        <v>#N/A</v>
      </c>
      <c r="E25" s="96" t="e">
        <f t="shared" si="4"/>
        <v>#N/A</v>
      </c>
      <c r="F25" s="96" t="e">
        <f t="shared" si="5"/>
        <v>#N/A</v>
      </c>
      <c r="G25" s="96" t="e">
        <f t="shared" si="6"/>
        <v>#N/A</v>
      </c>
      <c r="H25" s="96" t="e">
        <f t="shared" si="7"/>
        <v>#N/A</v>
      </c>
      <c r="I25" s="96" t="e">
        <f t="shared" si="8"/>
        <v>#N/A</v>
      </c>
      <c r="J25" s="96"/>
      <c r="K25" s="98"/>
      <c r="L25" s="98"/>
      <c r="N25" s="227" t="str">
        <f t="shared" si="1"/>
        <v/>
      </c>
      <c r="O25" s="228" t="e">
        <f t="shared" si="2"/>
        <v>#N/A</v>
      </c>
      <c r="U25" s="96"/>
    </row>
    <row r="26" spans="1:21" x14ac:dyDescent="0.2">
      <c r="A26" s="254">
        <v>1150</v>
      </c>
      <c r="B26" s="226">
        <f>'1 Pattern 10min  Chart Reading'!B27</f>
        <v>0</v>
      </c>
      <c r="C26" s="95" t="e">
        <f t="shared" si="0"/>
        <v>#N/A</v>
      </c>
      <c r="D26" s="96" t="e">
        <f t="shared" si="3"/>
        <v>#N/A</v>
      </c>
      <c r="E26" s="96" t="e">
        <f t="shared" si="4"/>
        <v>#N/A</v>
      </c>
      <c r="F26" s="96" t="e">
        <f t="shared" si="5"/>
        <v>#N/A</v>
      </c>
      <c r="G26" s="96" t="e">
        <f t="shared" si="6"/>
        <v>#N/A</v>
      </c>
      <c r="H26" s="96" t="e">
        <f t="shared" si="7"/>
        <v>#N/A</v>
      </c>
      <c r="I26" s="96" t="e">
        <f t="shared" si="8"/>
        <v>#N/A</v>
      </c>
      <c r="J26" s="96"/>
      <c r="K26" s="98"/>
      <c r="L26" s="98"/>
      <c r="N26" s="227" t="str">
        <f t="shared" si="1"/>
        <v/>
      </c>
      <c r="O26" s="228" t="e">
        <f t="shared" si="2"/>
        <v>#N/A</v>
      </c>
      <c r="U26" s="96"/>
    </row>
    <row r="27" spans="1:21" x14ac:dyDescent="0.2">
      <c r="A27" s="254">
        <v>1200</v>
      </c>
      <c r="B27" s="226">
        <f>'1 Pattern 10min  Chart Reading'!B28</f>
        <v>0</v>
      </c>
      <c r="C27" s="95" t="e">
        <f t="shared" si="0"/>
        <v>#N/A</v>
      </c>
      <c r="D27" s="96" t="e">
        <f t="shared" si="3"/>
        <v>#N/A</v>
      </c>
      <c r="E27" s="96" t="e">
        <f t="shared" si="4"/>
        <v>#N/A</v>
      </c>
      <c r="F27" s="96" t="e">
        <f t="shared" si="5"/>
        <v>#N/A</v>
      </c>
      <c r="G27" s="96" t="e">
        <f t="shared" si="6"/>
        <v>#N/A</v>
      </c>
      <c r="H27" s="96" t="e">
        <f t="shared" si="7"/>
        <v>#N/A</v>
      </c>
      <c r="I27" s="96" t="e">
        <f t="shared" si="8"/>
        <v>#N/A</v>
      </c>
      <c r="J27" s="96"/>
      <c r="K27" s="98"/>
      <c r="L27" s="98"/>
      <c r="N27" s="227" t="str">
        <f t="shared" si="1"/>
        <v/>
      </c>
      <c r="O27" s="228" t="e">
        <f t="shared" si="2"/>
        <v>#N/A</v>
      </c>
      <c r="U27" s="96"/>
    </row>
    <row r="28" spans="1:21" x14ac:dyDescent="0.2">
      <c r="A28" s="254">
        <v>1210</v>
      </c>
      <c r="B28" s="226">
        <f>'1 Pattern 10min  Chart Reading'!B29</f>
        <v>0</v>
      </c>
      <c r="C28" s="95" t="e">
        <f t="shared" si="0"/>
        <v>#N/A</v>
      </c>
      <c r="D28" s="96" t="e">
        <f t="shared" si="3"/>
        <v>#N/A</v>
      </c>
      <c r="E28" s="96" t="e">
        <f t="shared" si="4"/>
        <v>#N/A</v>
      </c>
      <c r="F28" s="96" t="e">
        <f t="shared" si="5"/>
        <v>#N/A</v>
      </c>
      <c r="G28" s="96" t="e">
        <f t="shared" si="6"/>
        <v>#N/A</v>
      </c>
      <c r="H28" s="96" t="e">
        <f t="shared" si="7"/>
        <v>#N/A</v>
      </c>
      <c r="I28" s="96" t="e">
        <f t="shared" si="8"/>
        <v>#N/A</v>
      </c>
      <c r="J28" s="96"/>
      <c r="K28" s="98"/>
      <c r="L28" s="98"/>
      <c r="N28" s="227" t="str">
        <f t="shared" si="1"/>
        <v/>
      </c>
      <c r="O28" s="228" t="e">
        <f t="shared" si="2"/>
        <v>#N/A</v>
      </c>
      <c r="U28" s="96"/>
    </row>
    <row r="29" spans="1:21" x14ac:dyDescent="0.2">
      <c r="A29" s="254">
        <v>1220</v>
      </c>
      <c r="B29" s="226">
        <f>'1 Pattern 10min  Chart Reading'!B30</f>
        <v>0</v>
      </c>
      <c r="C29" s="95" t="e">
        <f t="shared" si="0"/>
        <v>#N/A</v>
      </c>
      <c r="D29" s="96" t="e">
        <f t="shared" si="3"/>
        <v>#N/A</v>
      </c>
      <c r="E29" s="96" t="e">
        <f t="shared" si="4"/>
        <v>#N/A</v>
      </c>
      <c r="F29" s="96" t="e">
        <f t="shared" si="5"/>
        <v>#N/A</v>
      </c>
      <c r="G29" s="96" t="e">
        <f t="shared" si="6"/>
        <v>#N/A</v>
      </c>
      <c r="H29" s="96" t="e">
        <f t="shared" si="7"/>
        <v>#N/A</v>
      </c>
      <c r="I29" s="96" t="e">
        <f t="shared" si="8"/>
        <v>#N/A</v>
      </c>
      <c r="J29" s="96"/>
      <c r="K29" s="98"/>
      <c r="L29" s="98"/>
      <c r="N29" s="227" t="str">
        <f t="shared" si="1"/>
        <v/>
      </c>
      <c r="O29" s="228" t="e">
        <f t="shared" si="2"/>
        <v>#N/A</v>
      </c>
      <c r="U29" s="96"/>
    </row>
    <row r="30" spans="1:21" x14ac:dyDescent="0.2">
      <c r="A30" s="254">
        <v>1230</v>
      </c>
      <c r="B30" s="226">
        <f>'1 Pattern 10min  Chart Reading'!B31</f>
        <v>0</v>
      </c>
      <c r="C30" s="95" t="e">
        <f t="shared" si="0"/>
        <v>#N/A</v>
      </c>
      <c r="D30" s="96" t="e">
        <f t="shared" si="3"/>
        <v>#N/A</v>
      </c>
      <c r="E30" s="96" t="e">
        <f t="shared" si="4"/>
        <v>#N/A</v>
      </c>
      <c r="F30" s="96" t="e">
        <f t="shared" si="5"/>
        <v>#N/A</v>
      </c>
      <c r="G30" s="96" t="e">
        <f t="shared" si="6"/>
        <v>#N/A</v>
      </c>
      <c r="H30" s="96" t="e">
        <f t="shared" si="7"/>
        <v>#N/A</v>
      </c>
      <c r="I30" s="96" t="e">
        <f t="shared" si="8"/>
        <v>#N/A</v>
      </c>
      <c r="J30" s="96"/>
      <c r="K30" s="98"/>
      <c r="L30" s="98"/>
      <c r="N30" s="227" t="str">
        <f t="shared" si="1"/>
        <v/>
      </c>
      <c r="O30" s="228" t="e">
        <f t="shared" si="2"/>
        <v>#N/A</v>
      </c>
      <c r="U30" s="96"/>
    </row>
    <row r="31" spans="1:21" x14ac:dyDescent="0.2">
      <c r="A31" s="254">
        <v>1240</v>
      </c>
      <c r="B31" s="226">
        <f>'1 Pattern 10min  Chart Reading'!B32</f>
        <v>0</v>
      </c>
      <c r="C31" s="95" t="e">
        <f t="shared" si="0"/>
        <v>#N/A</v>
      </c>
      <c r="D31" s="96" t="e">
        <f t="shared" si="3"/>
        <v>#N/A</v>
      </c>
      <c r="E31" s="96" t="e">
        <f t="shared" si="4"/>
        <v>#N/A</v>
      </c>
      <c r="F31" s="96" t="e">
        <f t="shared" si="5"/>
        <v>#N/A</v>
      </c>
      <c r="G31" s="96" t="e">
        <f t="shared" si="6"/>
        <v>#N/A</v>
      </c>
      <c r="H31" s="96" t="e">
        <f t="shared" si="7"/>
        <v>#N/A</v>
      </c>
      <c r="I31" s="96" t="e">
        <f t="shared" si="8"/>
        <v>#N/A</v>
      </c>
      <c r="J31" s="96"/>
      <c r="K31" s="98"/>
      <c r="L31" s="98"/>
      <c r="N31" s="227" t="str">
        <f t="shared" si="1"/>
        <v/>
      </c>
      <c r="O31" s="228" t="e">
        <f t="shared" si="2"/>
        <v>#N/A</v>
      </c>
      <c r="U31" s="96"/>
    </row>
    <row r="32" spans="1:21" x14ac:dyDescent="0.2">
      <c r="A32" s="254">
        <v>1250</v>
      </c>
      <c r="B32" s="226">
        <f>'1 Pattern 10min  Chart Reading'!B33</f>
        <v>0</v>
      </c>
      <c r="C32" s="95" t="e">
        <f t="shared" si="0"/>
        <v>#N/A</v>
      </c>
      <c r="D32" s="96" t="e">
        <f t="shared" si="3"/>
        <v>#N/A</v>
      </c>
      <c r="E32" s="96" t="e">
        <f t="shared" si="4"/>
        <v>#N/A</v>
      </c>
      <c r="F32" s="96" t="e">
        <f t="shared" si="5"/>
        <v>#N/A</v>
      </c>
      <c r="G32" s="96" t="e">
        <f t="shared" si="6"/>
        <v>#N/A</v>
      </c>
      <c r="H32" s="96" t="e">
        <f t="shared" si="7"/>
        <v>#N/A</v>
      </c>
      <c r="I32" s="96" t="e">
        <f t="shared" si="8"/>
        <v>#N/A</v>
      </c>
      <c r="J32" s="96"/>
      <c r="K32" s="98"/>
      <c r="L32" s="98"/>
      <c r="N32" s="227" t="str">
        <f t="shared" si="1"/>
        <v/>
      </c>
      <c r="O32" s="228" t="e">
        <f t="shared" si="2"/>
        <v>#N/A</v>
      </c>
      <c r="U32" s="96"/>
    </row>
    <row r="33" spans="1:21" x14ac:dyDescent="0.2">
      <c r="A33" s="254">
        <v>1300</v>
      </c>
      <c r="B33" s="226">
        <f>'1 Pattern 10min  Chart Reading'!B34</f>
        <v>0</v>
      </c>
      <c r="C33" s="95" t="e">
        <f t="shared" si="0"/>
        <v>#N/A</v>
      </c>
      <c r="D33" s="96" t="e">
        <f t="shared" si="3"/>
        <v>#N/A</v>
      </c>
      <c r="E33" s="96" t="e">
        <f t="shared" si="4"/>
        <v>#N/A</v>
      </c>
      <c r="F33" s="96" t="e">
        <f t="shared" si="5"/>
        <v>#N/A</v>
      </c>
      <c r="G33" s="96" t="e">
        <f t="shared" si="6"/>
        <v>#N/A</v>
      </c>
      <c r="H33" s="96" t="e">
        <f t="shared" si="7"/>
        <v>#N/A</v>
      </c>
      <c r="I33" s="96" t="e">
        <f t="shared" si="8"/>
        <v>#N/A</v>
      </c>
      <c r="J33" s="96"/>
      <c r="K33" s="98"/>
      <c r="L33" s="98"/>
      <c r="N33" s="227" t="str">
        <f t="shared" si="1"/>
        <v/>
      </c>
      <c r="O33" s="228" t="e">
        <f t="shared" si="2"/>
        <v>#N/A</v>
      </c>
      <c r="U33" s="96"/>
    </row>
    <row r="34" spans="1:21" x14ac:dyDescent="0.2">
      <c r="A34" s="254">
        <v>1310</v>
      </c>
      <c r="B34" s="226">
        <f>'1 Pattern 10min  Chart Reading'!B35</f>
        <v>0</v>
      </c>
      <c r="C34" s="95" t="e">
        <f t="shared" si="0"/>
        <v>#N/A</v>
      </c>
      <c r="D34" s="96" t="e">
        <f t="shared" si="3"/>
        <v>#N/A</v>
      </c>
      <c r="E34" s="96" t="e">
        <f t="shared" si="4"/>
        <v>#N/A</v>
      </c>
      <c r="F34" s="96" t="e">
        <f t="shared" si="5"/>
        <v>#N/A</v>
      </c>
      <c r="G34" s="96" t="e">
        <f t="shared" si="6"/>
        <v>#N/A</v>
      </c>
      <c r="H34" s="96" t="e">
        <f t="shared" si="7"/>
        <v>#N/A</v>
      </c>
      <c r="I34" s="96" t="e">
        <f t="shared" si="8"/>
        <v>#N/A</v>
      </c>
      <c r="J34" s="96"/>
      <c r="K34" s="98"/>
      <c r="L34" s="98"/>
      <c r="N34" s="227" t="str">
        <f t="shared" si="1"/>
        <v/>
      </c>
      <c r="O34" s="228" t="e">
        <f t="shared" si="2"/>
        <v>#N/A</v>
      </c>
      <c r="U34" s="96"/>
    </row>
    <row r="35" spans="1:21" x14ac:dyDescent="0.2">
      <c r="A35" s="254">
        <v>1320</v>
      </c>
      <c r="B35" s="226">
        <f>'1 Pattern 10min  Chart Reading'!B36</f>
        <v>0</v>
      </c>
      <c r="C35" s="95" t="e">
        <f t="shared" si="0"/>
        <v>#N/A</v>
      </c>
      <c r="D35" s="96" t="e">
        <f t="shared" si="3"/>
        <v>#N/A</v>
      </c>
      <c r="E35" s="96" t="e">
        <f t="shared" si="4"/>
        <v>#N/A</v>
      </c>
      <c r="F35" s="96" t="e">
        <f t="shared" si="5"/>
        <v>#N/A</v>
      </c>
      <c r="G35" s="96" t="e">
        <f t="shared" si="6"/>
        <v>#N/A</v>
      </c>
      <c r="H35" s="96" t="e">
        <f t="shared" si="7"/>
        <v>#N/A</v>
      </c>
      <c r="I35" s="96" t="e">
        <f t="shared" si="8"/>
        <v>#N/A</v>
      </c>
      <c r="J35" s="96"/>
      <c r="K35" s="98"/>
      <c r="L35" s="98"/>
      <c r="N35" s="227" t="str">
        <f t="shared" si="1"/>
        <v/>
      </c>
      <c r="O35" s="228" t="e">
        <f t="shared" si="2"/>
        <v>#N/A</v>
      </c>
      <c r="U35" s="96"/>
    </row>
    <row r="36" spans="1:21" x14ac:dyDescent="0.2">
      <c r="A36" s="254">
        <v>1330</v>
      </c>
      <c r="B36" s="226">
        <f>'1 Pattern 10min  Chart Reading'!B37</f>
        <v>0</v>
      </c>
      <c r="C36" s="95" t="e">
        <f t="shared" si="0"/>
        <v>#N/A</v>
      </c>
      <c r="D36" s="96" t="e">
        <f t="shared" si="3"/>
        <v>#N/A</v>
      </c>
      <c r="E36" s="96" t="e">
        <f t="shared" si="4"/>
        <v>#N/A</v>
      </c>
      <c r="F36" s="96" t="e">
        <f t="shared" si="5"/>
        <v>#N/A</v>
      </c>
      <c r="G36" s="96" t="e">
        <f t="shared" si="6"/>
        <v>#N/A</v>
      </c>
      <c r="H36" s="96" t="e">
        <f t="shared" si="7"/>
        <v>#N/A</v>
      </c>
      <c r="I36" s="96" t="e">
        <f t="shared" si="8"/>
        <v>#N/A</v>
      </c>
      <c r="J36" s="96"/>
      <c r="K36" s="98"/>
      <c r="L36" s="98"/>
      <c r="N36" s="227" t="str">
        <f t="shared" si="1"/>
        <v/>
      </c>
      <c r="O36" s="228" t="e">
        <f t="shared" si="2"/>
        <v>#N/A</v>
      </c>
      <c r="U36" s="96"/>
    </row>
    <row r="37" spans="1:21" x14ac:dyDescent="0.2">
      <c r="A37" s="254">
        <v>1340</v>
      </c>
      <c r="B37" s="226">
        <f>'1 Pattern 10min  Chart Reading'!B38</f>
        <v>0</v>
      </c>
      <c r="C37" s="95" t="e">
        <f t="shared" si="0"/>
        <v>#N/A</v>
      </c>
      <c r="D37" s="96" t="e">
        <f t="shared" si="3"/>
        <v>#N/A</v>
      </c>
      <c r="E37" s="96" t="e">
        <f t="shared" si="4"/>
        <v>#N/A</v>
      </c>
      <c r="F37" s="96" t="e">
        <f t="shared" si="5"/>
        <v>#N/A</v>
      </c>
      <c r="G37" s="96" t="e">
        <f t="shared" si="6"/>
        <v>#N/A</v>
      </c>
      <c r="H37" s="96" t="e">
        <f t="shared" si="7"/>
        <v>#N/A</v>
      </c>
      <c r="I37" s="96" t="e">
        <f t="shared" si="8"/>
        <v>#N/A</v>
      </c>
      <c r="J37" s="96"/>
      <c r="K37" s="98"/>
      <c r="L37" s="98"/>
      <c r="N37" s="227" t="str">
        <f t="shared" si="1"/>
        <v/>
      </c>
      <c r="O37" s="228" t="e">
        <f t="shared" si="2"/>
        <v>#N/A</v>
      </c>
      <c r="U37" s="96"/>
    </row>
    <row r="38" spans="1:21" x14ac:dyDescent="0.2">
      <c r="A38" s="254">
        <v>1350</v>
      </c>
      <c r="B38" s="226">
        <f>'1 Pattern 10min  Chart Reading'!B39</f>
        <v>0</v>
      </c>
      <c r="C38" s="95" t="e">
        <f t="shared" si="0"/>
        <v>#N/A</v>
      </c>
      <c r="D38" s="96" t="e">
        <f t="shared" si="3"/>
        <v>#N/A</v>
      </c>
      <c r="E38" s="96" t="e">
        <f t="shared" si="4"/>
        <v>#N/A</v>
      </c>
      <c r="F38" s="96" t="e">
        <f t="shared" si="5"/>
        <v>#N/A</v>
      </c>
      <c r="G38" s="96" t="e">
        <f t="shared" si="6"/>
        <v>#N/A</v>
      </c>
      <c r="H38" s="96" t="e">
        <f t="shared" si="7"/>
        <v>#N/A</v>
      </c>
      <c r="I38" s="96" t="e">
        <f t="shared" si="8"/>
        <v>#N/A</v>
      </c>
      <c r="J38" s="96"/>
      <c r="K38" s="98"/>
      <c r="L38" s="98"/>
      <c r="N38" s="227" t="str">
        <f t="shared" si="1"/>
        <v/>
      </c>
      <c r="O38" s="228" t="e">
        <f t="shared" si="2"/>
        <v>#N/A</v>
      </c>
    </row>
    <row r="39" spans="1:21" x14ac:dyDescent="0.2">
      <c r="A39" s="254">
        <v>1400</v>
      </c>
      <c r="B39" s="226">
        <f>'1 Pattern 10min  Chart Reading'!B40</f>
        <v>0</v>
      </c>
      <c r="C39" s="95" t="e">
        <f t="shared" si="0"/>
        <v>#N/A</v>
      </c>
      <c r="D39" s="96" t="e">
        <f t="shared" si="3"/>
        <v>#N/A</v>
      </c>
      <c r="E39" s="96" t="e">
        <f t="shared" si="4"/>
        <v>#N/A</v>
      </c>
      <c r="F39" s="96" t="e">
        <f t="shared" si="5"/>
        <v>#N/A</v>
      </c>
      <c r="G39" s="96" t="e">
        <f t="shared" si="6"/>
        <v>#N/A</v>
      </c>
      <c r="H39" s="96" t="e">
        <f t="shared" si="7"/>
        <v>#N/A</v>
      </c>
      <c r="I39" s="96" t="e">
        <f t="shared" si="8"/>
        <v>#N/A</v>
      </c>
      <c r="J39" s="96" t="e">
        <f>C39-C3</f>
        <v>#N/A</v>
      </c>
      <c r="K39" s="98"/>
      <c r="L39" s="98"/>
      <c r="N39" s="227" t="str">
        <f t="shared" si="1"/>
        <v/>
      </c>
      <c r="O39" s="228" t="e">
        <f t="shared" si="2"/>
        <v>#N/A</v>
      </c>
    </row>
    <row r="40" spans="1:21" x14ac:dyDescent="0.2">
      <c r="A40" s="254">
        <v>1410</v>
      </c>
      <c r="B40" s="226">
        <f>'1 Pattern 10min  Chart Reading'!B41</f>
        <v>0</v>
      </c>
      <c r="C40" s="95" t="e">
        <f t="shared" si="0"/>
        <v>#N/A</v>
      </c>
      <c r="D40" s="96" t="e">
        <f t="shared" si="3"/>
        <v>#N/A</v>
      </c>
      <c r="E40" s="96" t="e">
        <f t="shared" si="4"/>
        <v>#N/A</v>
      </c>
      <c r="F40" s="96" t="e">
        <f t="shared" si="5"/>
        <v>#N/A</v>
      </c>
      <c r="G40" s="96" t="e">
        <f t="shared" si="6"/>
        <v>#N/A</v>
      </c>
      <c r="H40" s="96" t="e">
        <f t="shared" si="7"/>
        <v>#N/A</v>
      </c>
      <c r="I40" s="96" t="e">
        <f t="shared" si="8"/>
        <v>#N/A</v>
      </c>
      <c r="J40" s="96" t="e">
        <f t="shared" ref="J40:J103" si="9">C40-C4</f>
        <v>#N/A</v>
      </c>
      <c r="K40" s="98"/>
      <c r="L40" s="98"/>
      <c r="N40" s="227" t="str">
        <f t="shared" si="1"/>
        <v/>
      </c>
      <c r="O40" s="228" t="e">
        <f t="shared" si="2"/>
        <v>#N/A</v>
      </c>
    </row>
    <row r="41" spans="1:21" x14ac:dyDescent="0.2">
      <c r="A41" s="254">
        <v>1420</v>
      </c>
      <c r="B41" s="226">
        <f>'1 Pattern 10min  Chart Reading'!B42</f>
        <v>0</v>
      </c>
      <c r="C41" s="95" t="e">
        <f t="shared" si="0"/>
        <v>#N/A</v>
      </c>
      <c r="D41" s="96" t="e">
        <f t="shared" si="3"/>
        <v>#N/A</v>
      </c>
      <c r="E41" s="96" t="e">
        <f t="shared" si="4"/>
        <v>#N/A</v>
      </c>
      <c r="F41" s="96" t="e">
        <f t="shared" si="5"/>
        <v>#N/A</v>
      </c>
      <c r="G41" s="96" t="e">
        <f t="shared" si="6"/>
        <v>#N/A</v>
      </c>
      <c r="H41" s="96" t="e">
        <f t="shared" si="7"/>
        <v>#N/A</v>
      </c>
      <c r="I41" s="96" t="e">
        <f t="shared" si="8"/>
        <v>#N/A</v>
      </c>
      <c r="J41" s="96" t="e">
        <f t="shared" si="9"/>
        <v>#N/A</v>
      </c>
      <c r="K41" s="98"/>
      <c r="L41" s="98"/>
      <c r="N41" s="227" t="str">
        <f t="shared" si="1"/>
        <v/>
      </c>
      <c r="O41" s="228" t="e">
        <f t="shared" si="2"/>
        <v>#N/A</v>
      </c>
    </row>
    <row r="42" spans="1:21" x14ac:dyDescent="0.2">
      <c r="A42" s="254">
        <v>1430</v>
      </c>
      <c r="B42" s="226">
        <f>'1 Pattern 10min  Chart Reading'!B43</f>
        <v>0</v>
      </c>
      <c r="C42" s="95" t="e">
        <f t="shared" si="0"/>
        <v>#N/A</v>
      </c>
      <c r="D42" s="96" t="e">
        <f t="shared" si="3"/>
        <v>#N/A</v>
      </c>
      <c r="E42" s="96" t="e">
        <f t="shared" si="4"/>
        <v>#N/A</v>
      </c>
      <c r="F42" s="96" t="e">
        <f t="shared" si="5"/>
        <v>#N/A</v>
      </c>
      <c r="G42" s="96" t="e">
        <f t="shared" si="6"/>
        <v>#N/A</v>
      </c>
      <c r="H42" s="96" t="e">
        <f t="shared" si="7"/>
        <v>#N/A</v>
      </c>
      <c r="I42" s="96" t="e">
        <f t="shared" si="8"/>
        <v>#N/A</v>
      </c>
      <c r="J42" s="96" t="e">
        <f t="shared" si="9"/>
        <v>#N/A</v>
      </c>
      <c r="K42" s="98"/>
      <c r="L42" s="98"/>
      <c r="N42" s="227" t="str">
        <f t="shared" si="1"/>
        <v/>
      </c>
      <c r="O42" s="228" t="e">
        <f t="shared" si="2"/>
        <v>#N/A</v>
      </c>
    </row>
    <row r="43" spans="1:21" x14ac:dyDescent="0.2">
      <c r="A43" s="254">
        <v>1440</v>
      </c>
      <c r="B43" s="226">
        <f>'1 Pattern 10min  Chart Reading'!B44</f>
        <v>0</v>
      </c>
      <c r="C43" s="95" t="e">
        <f t="shared" si="0"/>
        <v>#N/A</v>
      </c>
      <c r="D43" s="96" t="e">
        <f t="shared" si="3"/>
        <v>#N/A</v>
      </c>
      <c r="E43" s="96" t="e">
        <f t="shared" si="4"/>
        <v>#N/A</v>
      </c>
      <c r="F43" s="96" t="e">
        <f t="shared" si="5"/>
        <v>#N/A</v>
      </c>
      <c r="G43" s="96" t="e">
        <f t="shared" si="6"/>
        <v>#N/A</v>
      </c>
      <c r="H43" s="96" t="e">
        <f t="shared" si="7"/>
        <v>#N/A</v>
      </c>
      <c r="I43" s="96" t="e">
        <f t="shared" si="8"/>
        <v>#N/A</v>
      </c>
      <c r="J43" s="96" t="e">
        <f t="shared" si="9"/>
        <v>#N/A</v>
      </c>
      <c r="K43" s="98"/>
      <c r="L43" s="98"/>
      <c r="N43" s="227" t="str">
        <f t="shared" si="1"/>
        <v/>
      </c>
      <c r="O43" s="228" t="e">
        <f t="shared" si="2"/>
        <v>#N/A</v>
      </c>
    </row>
    <row r="44" spans="1:21" x14ac:dyDescent="0.2">
      <c r="A44" s="254">
        <v>1450</v>
      </c>
      <c r="B44" s="226">
        <f>'1 Pattern 10min  Chart Reading'!B45</f>
        <v>0</v>
      </c>
      <c r="C44" s="95" t="e">
        <f t="shared" si="0"/>
        <v>#N/A</v>
      </c>
      <c r="D44" s="96" t="e">
        <f t="shared" si="3"/>
        <v>#N/A</v>
      </c>
      <c r="E44" s="96" t="e">
        <f t="shared" si="4"/>
        <v>#N/A</v>
      </c>
      <c r="F44" s="96" t="e">
        <f t="shared" si="5"/>
        <v>#N/A</v>
      </c>
      <c r="G44" s="96" t="e">
        <f t="shared" si="6"/>
        <v>#N/A</v>
      </c>
      <c r="H44" s="96" t="e">
        <f t="shared" si="7"/>
        <v>#N/A</v>
      </c>
      <c r="I44" s="96" t="e">
        <f t="shared" si="8"/>
        <v>#N/A</v>
      </c>
      <c r="J44" s="96" t="e">
        <f t="shared" si="9"/>
        <v>#N/A</v>
      </c>
      <c r="K44" s="98"/>
      <c r="L44" s="98"/>
      <c r="N44" s="227" t="str">
        <f t="shared" si="1"/>
        <v/>
      </c>
      <c r="O44" s="228" t="e">
        <f t="shared" si="2"/>
        <v>#N/A</v>
      </c>
    </row>
    <row r="45" spans="1:21" x14ac:dyDescent="0.2">
      <c r="A45" s="254">
        <v>1500</v>
      </c>
      <c r="B45" s="226">
        <f>'1 Pattern 10min  Chart Reading'!B46</f>
        <v>0</v>
      </c>
      <c r="C45" s="95" t="e">
        <f t="shared" si="0"/>
        <v>#N/A</v>
      </c>
      <c r="D45" s="96" t="e">
        <f t="shared" si="3"/>
        <v>#N/A</v>
      </c>
      <c r="E45" s="96" t="e">
        <f t="shared" si="4"/>
        <v>#N/A</v>
      </c>
      <c r="F45" s="96" t="e">
        <f t="shared" si="5"/>
        <v>#N/A</v>
      </c>
      <c r="G45" s="96" t="e">
        <f t="shared" si="6"/>
        <v>#N/A</v>
      </c>
      <c r="H45" s="96" t="e">
        <f t="shared" si="7"/>
        <v>#N/A</v>
      </c>
      <c r="I45" s="96" t="e">
        <f t="shared" si="8"/>
        <v>#N/A</v>
      </c>
      <c r="J45" s="96" t="e">
        <f t="shared" si="9"/>
        <v>#N/A</v>
      </c>
      <c r="K45" s="98"/>
      <c r="L45" s="98"/>
      <c r="N45" s="227" t="str">
        <f t="shared" si="1"/>
        <v/>
      </c>
      <c r="O45" s="228" t="e">
        <f t="shared" si="2"/>
        <v>#N/A</v>
      </c>
    </row>
    <row r="46" spans="1:21" x14ac:dyDescent="0.2">
      <c r="A46" s="254">
        <v>1510</v>
      </c>
      <c r="B46" s="226">
        <f>'1 Pattern 10min  Chart Reading'!B47</f>
        <v>0</v>
      </c>
      <c r="C46" s="95" t="e">
        <f t="shared" si="0"/>
        <v>#N/A</v>
      </c>
      <c r="D46" s="96" t="e">
        <f t="shared" si="3"/>
        <v>#N/A</v>
      </c>
      <c r="E46" s="96" t="e">
        <f t="shared" si="4"/>
        <v>#N/A</v>
      </c>
      <c r="F46" s="96" t="e">
        <f t="shared" si="5"/>
        <v>#N/A</v>
      </c>
      <c r="G46" s="96" t="e">
        <f t="shared" si="6"/>
        <v>#N/A</v>
      </c>
      <c r="H46" s="96" t="e">
        <f t="shared" si="7"/>
        <v>#N/A</v>
      </c>
      <c r="I46" s="96" t="e">
        <f t="shared" si="8"/>
        <v>#N/A</v>
      </c>
      <c r="J46" s="96" t="e">
        <f t="shared" si="9"/>
        <v>#N/A</v>
      </c>
      <c r="K46" s="98"/>
      <c r="L46" s="98"/>
      <c r="N46" s="227" t="str">
        <f t="shared" si="1"/>
        <v/>
      </c>
      <c r="O46" s="228" t="e">
        <f t="shared" si="2"/>
        <v>#N/A</v>
      </c>
    </row>
    <row r="47" spans="1:21" x14ac:dyDescent="0.2">
      <c r="A47" s="254">
        <v>1520</v>
      </c>
      <c r="B47" s="226">
        <f>'1 Pattern 10min  Chart Reading'!B48</f>
        <v>0</v>
      </c>
      <c r="C47" s="95" t="e">
        <f t="shared" si="0"/>
        <v>#N/A</v>
      </c>
      <c r="D47" s="96" t="e">
        <f t="shared" si="3"/>
        <v>#N/A</v>
      </c>
      <c r="E47" s="96" t="e">
        <f t="shared" si="4"/>
        <v>#N/A</v>
      </c>
      <c r="F47" s="96" t="e">
        <f t="shared" si="5"/>
        <v>#N/A</v>
      </c>
      <c r="G47" s="96" t="e">
        <f t="shared" si="6"/>
        <v>#N/A</v>
      </c>
      <c r="H47" s="96" t="e">
        <f t="shared" si="7"/>
        <v>#N/A</v>
      </c>
      <c r="I47" s="96" t="e">
        <f t="shared" si="8"/>
        <v>#N/A</v>
      </c>
      <c r="J47" s="96" t="e">
        <f t="shared" si="9"/>
        <v>#N/A</v>
      </c>
      <c r="K47" s="98"/>
      <c r="L47" s="98"/>
      <c r="N47" s="227" t="str">
        <f t="shared" si="1"/>
        <v/>
      </c>
      <c r="O47" s="228" t="e">
        <f t="shared" si="2"/>
        <v>#N/A</v>
      </c>
    </row>
    <row r="48" spans="1:21" x14ac:dyDescent="0.2">
      <c r="A48" s="254">
        <v>1530</v>
      </c>
      <c r="B48" s="226">
        <f>'1 Pattern 10min  Chart Reading'!B49</f>
        <v>0</v>
      </c>
      <c r="C48" s="95" t="e">
        <f t="shared" si="0"/>
        <v>#N/A</v>
      </c>
      <c r="D48" s="96" t="e">
        <f t="shared" si="3"/>
        <v>#N/A</v>
      </c>
      <c r="E48" s="96" t="e">
        <f t="shared" si="4"/>
        <v>#N/A</v>
      </c>
      <c r="F48" s="96" t="e">
        <f t="shared" si="5"/>
        <v>#N/A</v>
      </c>
      <c r="G48" s="96" t="e">
        <f t="shared" si="6"/>
        <v>#N/A</v>
      </c>
      <c r="H48" s="96" t="e">
        <f t="shared" si="7"/>
        <v>#N/A</v>
      </c>
      <c r="I48" s="96" t="e">
        <f t="shared" si="8"/>
        <v>#N/A</v>
      </c>
      <c r="J48" s="96" t="e">
        <f t="shared" si="9"/>
        <v>#N/A</v>
      </c>
      <c r="K48" s="98"/>
      <c r="L48" s="98"/>
      <c r="N48" s="227" t="str">
        <f t="shared" si="1"/>
        <v/>
      </c>
      <c r="O48" s="228" t="e">
        <f t="shared" si="2"/>
        <v>#N/A</v>
      </c>
    </row>
    <row r="49" spans="1:15" x14ac:dyDescent="0.2">
      <c r="A49" s="254">
        <v>1540</v>
      </c>
      <c r="B49" s="226">
        <f>'1 Pattern 10min  Chart Reading'!B50</f>
        <v>0</v>
      </c>
      <c r="C49" s="95" t="e">
        <f t="shared" si="0"/>
        <v>#N/A</v>
      </c>
      <c r="D49" s="96" t="e">
        <f t="shared" si="3"/>
        <v>#N/A</v>
      </c>
      <c r="E49" s="96" t="e">
        <f t="shared" si="4"/>
        <v>#N/A</v>
      </c>
      <c r="F49" s="96" t="e">
        <f t="shared" si="5"/>
        <v>#N/A</v>
      </c>
      <c r="G49" s="96" t="e">
        <f t="shared" si="6"/>
        <v>#N/A</v>
      </c>
      <c r="H49" s="96" t="e">
        <f t="shared" si="7"/>
        <v>#N/A</v>
      </c>
      <c r="I49" s="96" t="e">
        <f t="shared" si="8"/>
        <v>#N/A</v>
      </c>
      <c r="J49" s="96" t="e">
        <f t="shared" si="9"/>
        <v>#N/A</v>
      </c>
      <c r="K49" s="98"/>
      <c r="L49" s="98"/>
      <c r="N49" s="227" t="str">
        <f t="shared" si="1"/>
        <v/>
      </c>
      <c r="O49" s="228" t="e">
        <f t="shared" si="2"/>
        <v>#N/A</v>
      </c>
    </row>
    <row r="50" spans="1:15" x14ac:dyDescent="0.2">
      <c r="A50" s="254">
        <v>1550</v>
      </c>
      <c r="B50" s="226">
        <f>'1 Pattern 10min  Chart Reading'!B51</f>
        <v>0</v>
      </c>
      <c r="C50" s="95" t="e">
        <f t="shared" si="0"/>
        <v>#N/A</v>
      </c>
      <c r="D50" s="96" t="e">
        <f t="shared" si="3"/>
        <v>#N/A</v>
      </c>
      <c r="E50" s="96" t="e">
        <f t="shared" si="4"/>
        <v>#N/A</v>
      </c>
      <c r="F50" s="96" t="e">
        <f t="shared" si="5"/>
        <v>#N/A</v>
      </c>
      <c r="G50" s="96" t="e">
        <f t="shared" si="6"/>
        <v>#N/A</v>
      </c>
      <c r="H50" s="96" t="e">
        <f t="shared" si="7"/>
        <v>#N/A</v>
      </c>
      <c r="I50" s="96" t="e">
        <f t="shared" si="8"/>
        <v>#N/A</v>
      </c>
      <c r="J50" s="96" t="e">
        <f t="shared" si="9"/>
        <v>#N/A</v>
      </c>
      <c r="K50" s="98"/>
      <c r="L50" s="98"/>
      <c r="N50" s="227" t="str">
        <f t="shared" si="1"/>
        <v/>
      </c>
      <c r="O50" s="228" t="e">
        <f t="shared" si="2"/>
        <v>#N/A</v>
      </c>
    </row>
    <row r="51" spans="1:15" x14ac:dyDescent="0.2">
      <c r="A51" s="254">
        <v>1600</v>
      </c>
      <c r="B51" s="226">
        <f>'1 Pattern 10min  Chart Reading'!B52</f>
        <v>0</v>
      </c>
      <c r="C51" s="95" t="e">
        <f t="shared" si="0"/>
        <v>#N/A</v>
      </c>
      <c r="D51" s="96" t="e">
        <f t="shared" si="3"/>
        <v>#N/A</v>
      </c>
      <c r="E51" s="96" t="e">
        <f t="shared" si="4"/>
        <v>#N/A</v>
      </c>
      <c r="F51" s="96" t="e">
        <f t="shared" si="5"/>
        <v>#N/A</v>
      </c>
      <c r="G51" s="96" t="e">
        <f t="shared" si="6"/>
        <v>#N/A</v>
      </c>
      <c r="H51" s="96" t="e">
        <f t="shared" si="7"/>
        <v>#N/A</v>
      </c>
      <c r="I51" s="96" t="e">
        <f t="shared" si="8"/>
        <v>#N/A</v>
      </c>
      <c r="J51" s="96" t="e">
        <f t="shared" si="9"/>
        <v>#N/A</v>
      </c>
      <c r="K51" s="98"/>
      <c r="L51" s="98"/>
      <c r="N51" s="227" t="str">
        <f t="shared" si="1"/>
        <v/>
      </c>
      <c r="O51" s="228" t="e">
        <f t="shared" si="2"/>
        <v>#N/A</v>
      </c>
    </row>
    <row r="52" spans="1:15" x14ac:dyDescent="0.2">
      <c r="A52" s="254">
        <v>1610</v>
      </c>
      <c r="B52" s="226">
        <f>'1 Pattern 10min  Chart Reading'!B53</f>
        <v>0</v>
      </c>
      <c r="C52" s="95" t="e">
        <f t="shared" si="0"/>
        <v>#N/A</v>
      </c>
      <c r="D52" s="96" t="e">
        <f t="shared" si="3"/>
        <v>#N/A</v>
      </c>
      <c r="E52" s="96" t="e">
        <f t="shared" si="4"/>
        <v>#N/A</v>
      </c>
      <c r="F52" s="96" t="e">
        <f t="shared" si="5"/>
        <v>#N/A</v>
      </c>
      <c r="G52" s="96" t="e">
        <f t="shared" si="6"/>
        <v>#N/A</v>
      </c>
      <c r="H52" s="96" t="e">
        <f t="shared" si="7"/>
        <v>#N/A</v>
      </c>
      <c r="I52" s="96" t="e">
        <f t="shared" si="8"/>
        <v>#N/A</v>
      </c>
      <c r="J52" s="96" t="e">
        <f t="shared" si="9"/>
        <v>#N/A</v>
      </c>
      <c r="K52" s="98"/>
      <c r="L52" s="98"/>
      <c r="N52" s="227" t="str">
        <f t="shared" si="1"/>
        <v/>
      </c>
      <c r="O52" s="228" t="e">
        <f t="shared" si="2"/>
        <v>#N/A</v>
      </c>
    </row>
    <row r="53" spans="1:15" x14ac:dyDescent="0.2">
      <c r="A53" s="254">
        <v>1620</v>
      </c>
      <c r="B53" s="226">
        <f>'1 Pattern 10min  Chart Reading'!B54</f>
        <v>0</v>
      </c>
      <c r="C53" s="95" t="e">
        <f t="shared" si="0"/>
        <v>#N/A</v>
      </c>
      <c r="D53" s="96" t="e">
        <f t="shared" si="3"/>
        <v>#N/A</v>
      </c>
      <c r="E53" s="96" t="e">
        <f t="shared" si="4"/>
        <v>#N/A</v>
      </c>
      <c r="F53" s="96" t="e">
        <f t="shared" si="5"/>
        <v>#N/A</v>
      </c>
      <c r="G53" s="96" t="e">
        <f t="shared" si="6"/>
        <v>#N/A</v>
      </c>
      <c r="H53" s="96" t="e">
        <f t="shared" si="7"/>
        <v>#N/A</v>
      </c>
      <c r="I53" s="96" t="e">
        <f t="shared" si="8"/>
        <v>#N/A</v>
      </c>
      <c r="J53" s="96" t="e">
        <f t="shared" si="9"/>
        <v>#N/A</v>
      </c>
      <c r="K53" s="98"/>
      <c r="L53" s="98"/>
      <c r="N53" s="227" t="str">
        <f t="shared" si="1"/>
        <v/>
      </c>
      <c r="O53" s="228" t="e">
        <f t="shared" si="2"/>
        <v>#N/A</v>
      </c>
    </row>
    <row r="54" spans="1:15" x14ac:dyDescent="0.2">
      <c r="A54" s="254">
        <v>1630</v>
      </c>
      <c r="B54" s="226">
        <f>'1 Pattern 10min  Chart Reading'!B55</f>
        <v>0</v>
      </c>
      <c r="C54" s="95" t="e">
        <f t="shared" si="0"/>
        <v>#N/A</v>
      </c>
      <c r="D54" s="96" t="e">
        <f t="shared" si="3"/>
        <v>#N/A</v>
      </c>
      <c r="E54" s="96" t="e">
        <f t="shared" si="4"/>
        <v>#N/A</v>
      </c>
      <c r="F54" s="96" t="e">
        <f t="shared" si="5"/>
        <v>#N/A</v>
      </c>
      <c r="G54" s="96" t="e">
        <f t="shared" si="6"/>
        <v>#N/A</v>
      </c>
      <c r="H54" s="96" t="e">
        <f t="shared" si="7"/>
        <v>#N/A</v>
      </c>
      <c r="I54" s="96" t="e">
        <f t="shared" si="8"/>
        <v>#N/A</v>
      </c>
      <c r="J54" s="96" t="e">
        <f t="shared" si="9"/>
        <v>#N/A</v>
      </c>
      <c r="K54" s="98"/>
      <c r="L54" s="98"/>
      <c r="N54" s="227" t="str">
        <f t="shared" si="1"/>
        <v/>
      </c>
      <c r="O54" s="228" t="e">
        <f t="shared" si="2"/>
        <v>#N/A</v>
      </c>
    </row>
    <row r="55" spans="1:15" x14ac:dyDescent="0.2">
      <c r="A55" s="254">
        <v>1640</v>
      </c>
      <c r="B55" s="226">
        <f>'1 Pattern 10min  Chart Reading'!B56</f>
        <v>0</v>
      </c>
      <c r="C55" s="95" t="e">
        <f t="shared" si="0"/>
        <v>#N/A</v>
      </c>
      <c r="D55" s="96" t="e">
        <f t="shared" si="3"/>
        <v>#N/A</v>
      </c>
      <c r="E55" s="96" t="e">
        <f t="shared" si="4"/>
        <v>#N/A</v>
      </c>
      <c r="F55" s="96" t="e">
        <f t="shared" si="5"/>
        <v>#N/A</v>
      </c>
      <c r="G55" s="96" t="e">
        <f t="shared" si="6"/>
        <v>#N/A</v>
      </c>
      <c r="H55" s="96" t="e">
        <f t="shared" si="7"/>
        <v>#N/A</v>
      </c>
      <c r="I55" s="96" t="e">
        <f t="shared" si="8"/>
        <v>#N/A</v>
      </c>
      <c r="J55" s="96" t="e">
        <f t="shared" si="9"/>
        <v>#N/A</v>
      </c>
      <c r="K55" s="98"/>
      <c r="L55" s="98"/>
      <c r="N55" s="227" t="str">
        <f t="shared" si="1"/>
        <v/>
      </c>
      <c r="O55" s="228" t="e">
        <f t="shared" si="2"/>
        <v>#N/A</v>
      </c>
    </row>
    <row r="56" spans="1:15" x14ac:dyDescent="0.2">
      <c r="A56" s="254">
        <v>1650</v>
      </c>
      <c r="B56" s="226">
        <f>'1 Pattern 10min  Chart Reading'!B57</f>
        <v>0</v>
      </c>
      <c r="C56" s="95" t="e">
        <f t="shared" si="0"/>
        <v>#N/A</v>
      </c>
      <c r="D56" s="96" t="e">
        <f t="shared" si="3"/>
        <v>#N/A</v>
      </c>
      <c r="E56" s="96" t="e">
        <f t="shared" si="4"/>
        <v>#N/A</v>
      </c>
      <c r="F56" s="96" t="e">
        <f t="shared" si="5"/>
        <v>#N/A</v>
      </c>
      <c r="G56" s="96" t="e">
        <f t="shared" si="6"/>
        <v>#N/A</v>
      </c>
      <c r="H56" s="96" t="e">
        <f t="shared" si="7"/>
        <v>#N/A</v>
      </c>
      <c r="I56" s="96" t="e">
        <f t="shared" si="8"/>
        <v>#N/A</v>
      </c>
      <c r="J56" s="96" t="e">
        <f t="shared" si="9"/>
        <v>#N/A</v>
      </c>
      <c r="K56" s="98"/>
      <c r="L56" s="98"/>
      <c r="N56" s="227" t="str">
        <f t="shared" si="1"/>
        <v/>
      </c>
      <c r="O56" s="228" t="e">
        <f t="shared" si="2"/>
        <v>#N/A</v>
      </c>
    </row>
    <row r="57" spans="1:15" x14ac:dyDescent="0.2">
      <c r="A57" s="254">
        <v>1700</v>
      </c>
      <c r="B57" s="226">
        <f>'1 Pattern 10min  Chart Reading'!B58</f>
        <v>0</v>
      </c>
      <c r="C57" s="95" t="e">
        <f t="shared" si="0"/>
        <v>#N/A</v>
      </c>
      <c r="D57" s="96" t="e">
        <f t="shared" si="3"/>
        <v>#N/A</v>
      </c>
      <c r="E57" s="96" t="e">
        <f t="shared" si="4"/>
        <v>#N/A</v>
      </c>
      <c r="F57" s="96" t="e">
        <f t="shared" si="5"/>
        <v>#N/A</v>
      </c>
      <c r="G57" s="96" t="e">
        <f t="shared" si="6"/>
        <v>#N/A</v>
      </c>
      <c r="H57" s="96" t="e">
        <f t="shared" si="7"/>
        <v>#N/A</v>
      </c>
      <c r="I57" s="96" t="e">
        <f t="shared" si="8"/>
        <v>#N/A</v>
      </c>
      <c r="J57" s="96" t="e">
        <f t="shared" si="9"/>
        <v>#N/A</v>
      </c>
      <c r="K57" s="98"/>
      <c r="L57" s="98"/>
      <c r="N57" s="227" t="str">
        <f t="shared" si="1"/>
        <v/>
      </c>
      <c r="O57" s="228" t="e">
        <f t="shared" si="2"/>
        <v>#N/A</v>
      </c>
    </row>
    <row r="58" spans="1:15" x14ac:dyDescent="0.2">
      <c r="A58" s="254">
        <v>1710</v>
      </c>
      <c r="B58" s="226">
        <f>'1 Pattern 10min  Chart Reading'!B59</f>
        <v>0</v>
      </c>
      <c r="C58" s="95" t="e">
        <f t="shared" si="0"/>
        <v>#N/A</v>
      </c>
      <c r="D58" s="96" t="e">
        <f t="shared" si="3"/>
        <v>#N/A</v>
      </c>
      <c r="E58" s="96" t="e">
        <f t="shared" si="4"/>
        <v>#N/A</v>
      </c>
      <c r="F58" s="96" t="e">
        <f t="shared" si="5"/>
        <v>#N/A</v>
      </c>
      <c r="G58" s="96" t="e">
        <f t="shared" si="6"/>
        <v>#N/A</v>
      </c>
      <c r="H58" s="96" t="e">
        <f t="shared" si="7"/>
        <v>#N/A</v>
      </c>
      <c r="I58" s="96" t="e">
        <f t="shared" si="8"/>
        <v>#N/A</v>
      </c>
      <c r="J58" s="96" t="e">
        <f t="shared" si="9"/>
        <v>#N/A</v>
      </c>
      <c r="K58" s="98"/>
      <c r="L58" s="98"/>
      <c r="N58" s="227" t="str">
        <f t="shared" si="1"/>
        <v/>
      </c>
      <c r="O58" s="228" t="e">
        <f t="shared" si="2"/>
        <v>#N/A</v>
      </c>
    </row>
    <row r="59" spans="1:15" x14ac:dyDescent="0.2">
      <c r="A59" s="254">
        <v>1720</v>
      </c>
      <c r="B59" s="226">
        <f>'1 Pattern 10min  Chart Reading'!B60</f>
        <v>0</v>
      </c>
      <c r="C59" s="95" t="e">
        <f t="shared" si="0"/>
        <v>#N/A</v>
      </c>
      <c r="D59" s="96" t="e">
        <f t="shared" si="3"/>
        <v>#N/A</v>
      </c>
      <c r="E59" s="96" t="e">
        <f t="shared" si="4"/>
        <v>#N/A</v>
      </c>
      <c r="F59" s="96" t="e">
        <f t="shared" si="5"/>
        <v>#N/A</v>
      </c>
      <c r="G59" s="96" t="e">
        <f t="shared" si="6"/>
        <v>#N/A</v>
      </c>
      <c r="H59" s="96" t="e">
        <f t="shared" si="7"/>
        <v>#N/A</v>
      </c>
      <c r="I59" s="96" t="e">
        <f t="shared" si="8"/>
        <v>#N/A</v>
      </c>
      <c r="J59" s="96" t="e">
        <f t="shared" si="9"/>
        <v>#N/A</v>
      </c>
      <c r="K59" s="98"/>
      <c r="L59" s="98"/>
      <c r="N59" s="227" t="str">
        <f t="shared" si="1"/>
        <v/>
      </c>
      <c r="O59" s="228" t="e">
        <f t="shared" si="2"/>
        <v>#N/A</v>
      </c>
    </row>
    <row r="60" spans="1:15" x14ac:dyDescent="0.2">
      <c r="A60" s="254">
        <v>1730</v>
      </c>
      <c r="B60" s="226">
        <f>'1 Pattern 10min  Chart Reading'!B61</f>
        <v>0</v>
      </c>
      <c r="C60" s="95" t="e">
        <f t="shared" si="0"/>
        <v>#N/A</v>
      </c>
      <c r="D60" s="96" t="e">
        <f t="shared" si="3"/>
        <v>#N/A</v>
      </c>
      <c r="E60" s="96" t="e">
        <f t="shared" si="4"/>
        <v>#N/A</v>
      </c>
      <c r="F60" s="96" t="e">
        <f t="shared" si="5"/>
        <v>#N/A</v>
      </c>
      <c r="G60" s="96" t="e">
        <f t="shared" si="6"/>
        <v>#N/A</v>
      </c>
      <c r="H60" s="96" t="e">
        <f t="shared" si="7"/>
        <v>#N/A</v>
      </c>
      <c r="I60" s="96" t="e">
        <f t="shared" si="8"/>
        <v>#N/A</v>
      </c>
      <c r="J60" s="96" t="e">
        <f t="shared" si="9"/>
        <v>#N/A</v>
      </c>
      <c r="K60" s="98"/>
      <c r="L60" s="98"/>
      <c r="N60" s="227" t="str">
        <f t="shared" si="1"/>
        <v/>
      </c>
      <c r="O60" s="228" t="e">
        <f t="shared" si="2"/>
        <v>#N/A</v>
      </c>
    </row>
    <row r="61" spans="1:15" x14ac:dyDescent="0.2">
      <c r="A61" s="254">
        <v>1740</v>
      </c>
      <c r="B61" s="226">
        <f>'1 Pattern 10min  Chart Reading'!B62</f>
        <v>0</v>
      </c>
      <c r="C61" s="95" t="e">
        <f t="shared" si="0"/>
        <v>#N/A</v>
      </c>
      <c r="D61" s="96" t="e">
        <f t="shared" si="3"/>
        <v>#N/A</v>
      </c>
      <c r="E61" s="96" t="e">
        <f t="shared" si="4"/>
        <v>#N/A</v>
      </c>
      <c r="F61" s="96" t="e">
        <f t="shared" si="5"/>
        <v>#N/A</v>
      </c>
      <c r="G61" s="96" t="e">
        <f t="shared" si="6"/>
        <v>#N/A</v>
      </c>
      <c r="H61" s="96" t="e">
        <f t="shared" si="7"/>
        <v>#N/A</v>
      </c>
      <c r="I61" s="96" t="e">
        <f t="shared" si="8"/>
        <v>#N/A</v>
      </c>
      <c r="J61" s="96" t="e">
        <f t="shared" si="9"/>
        <v>#N/A</v>
      </c>
      <c r="K61" s="98"/>
      <c r="L61" s="98"/>
      <c r="N61" s="227" t="str">
        <f t="shared" si="1"/>
        <v/>
      </c>
      <c r="O61" s="228" t="e">
        <f t="shared" si="2"/>
        <v>#N/A</v>
      </c>
    </row>
    <row r="62" spans="1:15" x14ac:dyDescent="0.2">
      <c r="A62" s="254">
        <v>1750</v>
      </c>
      <c r="B62" s="226">
        <f>'1 Pattern 10min  Chart Reading'!B63</f>
        <v>0</v>
      </c>
      <c r="C62" s="95" t="e">
        <f t="shared" si="0"/>
        <v>#N/A</v>
      </c>
      <c r="D62" s="96" t="e">
        <f t="shared" si="3"/>
        <v>#N/A</v>
      </c>
      <c r="E62" s="96" t="e">
        <f t="shared" si="4"/>
        <v>#N/A</v>
      </c>
      <c r="F62" s="96" t="e">
        <f t="shared" si="5"/>
        <v>#N/A</v>
      </c>
      <c r="G62" s="96" t="e">
        <f t="shared" si="6"/>
        <v>#N/A</v>
      </c>
      <c r="H62" s="96" t="e">
        <f t="shared" si="7"/>
        <v>#N/A</v>
      </c>
      <c r="I62" s="96" t="e">
        <f t="shared" si="8"/>
        <v>#N/A</v>
      </c>
      <c r="J62" s="96" t="e">
        <f t="shared" si="9"/>
        <v>#N/A</v>
      </c>
      <c r="K62" s="98"/>
      <c r="L62" s="98"/>
      <c r="N62" s="227" t="str">
        <f t="shared" si="1"/>
        <v/>
      </c>
      <c r="O62" s="228" t="e">
        <f t="shared" si="2"/>
        <v>#N/A</v>
      </c>
    </row>
    <row r="63" spans="1:15" x14ac:dyDescent="0.2">
      <c r="A63" s="254">
        <v>1800</v>
      </c>
      <c r="B63" s="226">
        <f>'1 Pattern 10min  Chart Reading'!B64</f>
        <v>0</v>
      </c>
      <c r="C63" s="95" t="e">
        <f t="shared" si="0"/>
        <v>#N/A</v>
      </c>
      <c r="D63" s="96" t="e">
        <f t="shared" si="3"/>
        <v>#N/A</v>
      </c>
      <c r="E63" s="96" t="e">
        <f t="shared" si="4"/>
        <v>#N/A</v>
      </c>
      <c r="F63" s="96" t="e">
        <f t="shared" si="5"/>
        <v>#N/A</v>
      </c>
      <c r="G63" s="96" t="e">
        <f t="shared" si="6"/>
        <v>#N/A</v>
      </c>
      <c r="H63" s="96" t="e">
        <f t="shared" si="7"/>
        <v>#N/A</v>
      </c>
      <c r="I63" s="96" t="e">
        <f t="shared" si="8"/>
        <v>#N/A</v>
      </c>
      <c r="J63" s="96" t="e">
        <f t="shared" si="9"/>
        <v>#N/A</v>
      </c>
      <c r="K63" s="98"/>
      <c r="L63" s="98"/>
      <c r="N63" s="227" t="str">
        <f t="shared" si="1"/>
        <v/>
      </c>
      <c r="O63" s="228" t="e">
        <f t="shared" si="2"/>
        <v>#N/A</v>
      </c>
    </row>
    <row r="64" spans="1:15" x14ac:dyDescent="0.2">
      <c r="A64" s="254">
        <v>1810</v>
      </c>
      <c r="B64" s="226">
        <f>'1 Pattern 10min  Chart Reading'!B65</f>
        <v>0</v>
      </c>
      <c r="C64" s="95" t="e">
        <f t="shared" si="0"/>
        <v>#N/A</v>
      </c>
      <c r="D64" s="96" t="e">
        <f t="shared" si="3"/>
        <v>#N/A</v>
      </c>
      <c r="E64" s="96" t="e">
        <f t="shared" si="4"/>
        <v>#N/A</v>
      </c>
      <c r="F64" s="96" t="e">
        <f t="shared" si="5"/>
        <v>#N/A</v>
      </c>
      <c r="G64" s="96" t="e">
        <f t="shared" si="6"/>
        <v>#N/A</v>
      </c>
      <c r="H64" s="96" t="e">
        <f t="shared" si="7"/>
        <v>#N/A</v>
      </c>
      <c r="I64" s="96" t="e">
        <f t="shared" si="8"/>
        <v>#N/A</v>
      </c>
      <c r="J64" s="96" t="e">
        <f t="shared" si="9"/>
        <v>#N/A</v>
      </c>
      <c r="K64" s="98"/>
      <c r="L64" s="98"/>
      <c r="N64" s="227" t="str">
        <f t="shared" si="1"/>
        <v/>
      </c>
      <c r="O64" s="228" t="e">
        <f t="shared" si="2"/>
        <v>#N/A</v>
      </c>
    </row>
    <row r="65" spans="1:15" x14ac:dyDescent="0.2">
      <c r="A65" s="254">
        <v>1820</v>
      </c>
      <c r="B65" s="226">
        <f>'1 Pattern 10min  Chart Reading'!B66</f>
        <v>0</v>
      </c>
      <c r="C65" s="95" t="e">
        <f t="shared" si="0"/>
        <v>#N/A</v>
      </c>
      <c r="D65" s="96" t="e">
        <f t="shared" si="3"/>
        <v>#N/A</v>
      </c>
      <c r="E65" s="96" t="e">
        <f t="shared" si="4"/>
        <v>#N/A</v>
      </c>
      <c r="F65" s="96" t="e">
        <f t="shared" si="5"/>
        <v>#N/A</v>
      </c>
      <c r="G65" s="96" t="e">
        <f t="shared" si="6"/>
        <v>#N/A</v>
      </c>
      <c r="H65" s="96" t="e">
        <f t="shared" si="7"/>
        <v>#N/A</v>
      </c>
      <c r="I65" s="96" t="e">
        <f t="shared" si="8"/>
        <v>#N/A</v>
      </c>
      <c r="J65" s="96" t="e">
        <f t="shared" si="9"/>
        <v>#N/A</v>
      </c>
      <c r="K65" s="98"/>
      <c r="L65" s="98"/>
      <c r="N65" s="227" t="str">
        <f t="shared" si="1"/>
        <v/>
      </c>
      <c r="O65" s="228" t="e">
        <f t="shared" si="2"/>
        <v>#N/A</v>
      </c>
    </row>
    <row r="66" spans="1:15" x14ac:dyDescent="0.2">
      <c r="A66" s="254">
        <v>1830</v>
      </c>
      <c r="B66" s="226">
        <f>'1 Pattern 10min  Chart Reading'!B67</f>
        <v>0</v>
      </c>
      <c r="C66" s="95" t="e">
        <f t="shared" si="0"/>
        <v>#N/A</v>
      </c>
      <c r="D66" s="96" t="e">
        <f t="shared" si="3"/>
        <v>#N/A</v>
      </c>
      <c r="E66" s="96" t="e">
        <f t="shared" si="4"/>
        <v>#N/A</v>
      </c>
      <c r="F66" s="96" t="e">
        <f t="shared" si="5"/>
        <v>#N/A</v>
      </c>
      <c r="G66" s="96" t="e">
        <f t="shared" si="6"/>
        <v>#N/A</v>
      </c>
      <c r="H66" s="96" t="e">
        <f t="shared" si="7"/>
        <v>#N/A</v>
      </c>
      <c r="I66" s="96" t="e">
        <f t="shared" si="8"/>
        <v>#N/A</v>
      </c>
      <c r="J66" s="96" t="e">
        <f t="shared" si="9"/>
        <v>#N/A</v>
      </c>
      <c r="K66" s="98"/>
      <c r="L66" s="98"/>
      <c r="N66" s="227" t="str">
        <f t="shared" si="1"/>
        <v/>
      </c>
      <c r="O66" s="228" t="e">
        <f t="shared" si="2"/>
        <v>#N/A</v>
      </c>
    </row>
    <row r="67" spans="1:15" x14ac:dyDescent="0.2">
      <c r="A67" s="254">
        <v>1840</v>
      </c>
      <c r="B67" s="226">
        <f>'1 Pattern 10min  Chart Reading'!B68</f>
        <v>0</v>
      </c>
      <c r="C67" s="95" t="e">
        <f t="shared" ref="C67:C130" si="10">$B$1*B67</f>
        <v>#N/A</v>
      </c>
      <c r="D67" s="96" t="e">
        <f t="shared" si="3"/>
        <v>#N/A</v>
      </c>
      <c r="E67" s="96" t="e">
        <f t="shared" si="4"/>
        <v>#N/A</v>
      </c>
      <c r="F67" s="96" t="e">
        <f t="shared" si="5"/>
        <v>#N/A</v>
      </c>
      <c r="G67" s="96" t="e">
        <f t="shared" si="6"/>
        <v>#N/A</v>
      </c>
      <c r="H67" s="96" t="e">
        <f t="shared" si="7"/>
        <v>#N/A</v>
      </c>
      <c r="I67" s="96" t="e">
        <f t="shared" si="8"/>
        <v>#N/A</v>
      </c>
      <c r="J67" s="96" t="e">
        <f t="shared" si="9"/>
        <v>#N/A</v>
      </c>
      <c r="K67" s="98"/>
      <c r="L67" s="98"/>
      <c r="N67" s="227" t="str">
        <f t="shared" si="1"/>
        <v/>
      </c>
      <c r="O67" s="228" t="e">
        <f t="shared" si="2"/>
        <v>#N/A</v>
      </c>
    </row>
    <row r="68" spans="1:15" x14ac:dyDescent="0.2">
      <c r="A68" s="254">
        <v>1850</v>
      </c>
      <c r="B68" s="226">
        <f>'1 Pattern 10min  Chart Reading'!B69</f>
        <v>0</v>
      </c>
      <c r="C68" s="95" t="e">
        <f t="shared" si="10"/>
        <v>#N/A</v>
      </c>
      <c r="D68" s="96" t="e">
        <f t="shared" si="3"/>
        <v>#N/A</v>
      </c>
      <c r="E68" s="96" t="e">
        <f t="shared" si="4"/>
        <v>#N/A</v>
      </c>
      <c r="F68" s="96" t="e">
        <f t="shared" si="5"/>
        <v>#N/A</v>
      </c>
      <c r="G68" s="96" t="e">
        <f t="shared" si="6"/>
        <v>#N/A</v>
      </c>
      <c r="H68" s="96" t="e">
        <f t="shared" si="7"/>
        <v>#N/A</v>
      </c>
      <c r="I68" s="96" t="e">
        <f t="shared" si="8"/>
        <v>#N/A</v>
      </c>
      <c r="J68" s="96" t="e">
        <f t="shared" si="9"/>
        <v>#N/A</v>
      </c>
      <c r="K68" s="98"/>
      <c r="L68" s="98"/>
      <c r="N68" s="227" t="str">
        <f t="shared" ref="N68:N131" si="11">IF(B68="","fill","")</f>
        <v/>
      </c>
      <c r="O68" s="228" t="e">
        <f t="shared" ref="O68:O131" si="12">IF(D68&lt;0,"neg","")</f>
        <v>#N/A</v>
      </c>
    </row>
    <row r="69" spans="1:15" x14ac:dyDescent="0.2">
      <c r="A69" s="254">
        <v>1900</v>
      </c>
      <c r="B69" s="226">
        <f>'1 Pattern 10min  Chart Reading'!B70</f>
        <v>0</v>
      </c>
      <c r="C69" s="95" t="e">
        <f t="shared" si="10"/>
        <v>#N/A</v>
      </c>
      <c r="D69" s="96" t="e">
        <f t="shared" ref="D69:D132" si="13">C69-C68</f>
        <v>#N/A</v>
      </c>
      <c r="E69" s="96" t="e">
        <f t="shared" si="4"/>
        <v>#N/A</v>
      </c>
      <c r="F69" s="96" t="e">
        <f t="shared" si="5"/>
        <v>#N/A</v>
      </c>
      <c r="G69" s="96" t="e">
        <f t="shared" si="6"/>
        <v>#N/A</v>
      </c>
      <c r="H69" s="96" t="e">
        <f t="shared" si="7"/>
        <v>#N/A</v>
      </c>
      <c r="I69" s="96" t="e">
        <f t="shared" si="8"/>
        <v>#N/A</v>
      </c>
      <c r="J69" s="96" t="e">
        <f t="shared" si="9"/>
        <v>#N/A</v>
      </c>
      <c r="K69" s="98"/>
      <c r="L69" s="98"/>
      <c r="N69" s="227" t="str">
        <f t="shared" si="11"/>
        <v/>
      </c>
      <c r="O69" s="228" t="e">
        <f t="shared" si="12"/>
        <v>#N/A</v>
      </c>
    </row>
    <row r="70" spans="1:15" x14ac:dyDescent="0.2">
      <c r="A70" s="254" t="s">
        <v>122</v>
      </c>
      <c r="B70" s="226">
        <f>'1 Pattern 10min  Chart Reading'!B71</f>
        <v>0</v>
      </c>
      <c r="C70" s="95" t="e">
        <f t="shared" si="10"/>
        <v>#N/A</v>
      </c>
      <c r="D70" s="96" t="e">
        <f t="shared" si="13"/>
        <v>#N/A</v>
      </c>
      <c r="E70" s="96" t="e">
        <f t="shared" si="4"/>
        <v>#N/A</v>
      </c>
      <c r="F70" s="96" t="e">
        <f t="shared" si="5"/>
        <v>#N/A</v>
      </c>
      <c r="G70" s="96" t="e">
        <f t="shared" si="6"/>
        <v>#N/A</v>
      </c>
      <c r="H70" s="96" t="e">
        <f t="shared" si="7"/>
        <v>#N/A</v>
      </c>
      <c r="I70" s="96" t="e">
        <f t="shared" si="8"/>
        <v>#N/A</v>
      </c>
      <c r="J70" s="96" t="e">
        <f t="shared" si="9"/>
        <v>#N/A</v>
      </c>
      <c r="K70" s="98"/>
      <c r="L70" s="98"/>
      <c r="N70" s="227" t="str">
        <f t="shared" si="11"/>
        <v/>
      </c>
      <c r="O70" s="228" t="e">
        <f t="shared" si="12"/>
        <v>#N/A</v>
      </c>
    </row>
    <row r="71" spans="1:15" x14ac:dyDescent="0.2">
      <c r="A71" s="254">
        <v>1920</v>
      </c>
      <c r="B71" s="226">
        <f>'1 Pattern 10min  Chart Reading'!B72</f>
        <v>0</v>
      </c>
      <c r="C71" s="95" t="e">
        <f t="shared" si="10"/>
        <v>#N/A</v>
      </c>
      <c r="D71" s="96" t="e">
        <f t="shared" si="13"/>
        <v>#N/A</v>
      </c>
      <c r="E71" s="96" t="e">
        <f t="shared" ref="E71:E134" si="14">C71-C69</f>
        <v>#N/A</v>
      </c>
      <c r="F71" s="96" t="e">
        <f t="shared" ref="F71:F134" si="15">C71-C68</f>
        <v>#N/A</v>
      </c>
      <c r="G71" s="96" t="e">
        <f t="shared" si="6"/>
        <v>#N/A</v>
      </c>
      <c r="H71" s="96" t="e">
        <f t="shared" si="7"/>
        <v>#N/A</v>
      </c>
      <c r="I71" s="96" t="e">
        <f t="shared" si="8"/>
        <v>#N/A</v>
      </c>
      <c r="J71" s="96" t="e">
        <f t="shared" si="9"/>
        <v>#N/A</v>
      </c>
      <c r="K71" s="98"/>
      <c r="L71" s="98"/>
      <c r="N71" s="227" t="str">
        <f t="shared" si="11"/>
        <v/>
      </c>
      <c r="O71" s="228" t="e">
        <f t="shared" si="12"/>
        <v>#N/A</v>
      </c>
    </row>
    <row r="72" spans="1:15" x14ac:dyDescent="0.2">
      <c r="A72" s="254">
        <v>1930</v>
      </c>
      <c r="B72" s="226">
        <f>'1 Pattern 10min  Chart Reading'!B73</f>
        <v>0</v>
      </c>
      <c r="C72" s="95" t="e">
        <f t="shared" si="10"/>
        <v>#N/A</v>
      </c>
      <c r="D72" s="96" t="e">
        <f t="shared" si="13"/>
        <v>#N/A</v>
      </c>
      <c r="E72" s="96" t="e">
        <f t="shared" si="14"/>
        <v>#N/A</v>
      </c>
      <c r="F72" s="96" t="e">
        <f t="shared" si="15"/>
        <v>#N/A</v>
      </c>
      <c r="G72" s="96" t="e">
        <f t="shared" si="6"/>
        <v>#N/A</v>
      </c>
      <c r="H72" s="96" t="e">
        <f t="shared" si="7"/>
        <v>#N/A</v>
      </c>
      <c r="I72" s="96" t="e">
        <f t="shared" si="8"/>
        <v>#N/A</v>
      </c>
      <c r="J72" s="96" t="e">
        <f t="shared" si="9"/>
        <v>#N/A</v>
      </c>
      <c r="K72" s="98"/>
      <c r="L72" s="98"/>
      <c r="N72" s="227" t="str">
        <f t="shared" si="11"/>
        <v/>
      </c>
      <c r="O72" s="228" t="e">
        <f t="shared" si="12"/>
        <v>#N/A</v>
      </c>
    </row>
    <row r="73" spans="1:15" x14ac:dyDescent="0.2">
      <c r="A73" s="254">
        <v>1940</v>
      </c>
      <c r="B73" s="226">
        <f>'1 Pattern 10min  Chart Reading'!B74</f>
        <v>0</v>
      </c>
      <c r="C73" s="95" t="e">
        <f t="shared" si="10"/>
        <v>#N/A</v>
      </c>
      <c r="D73" s="96" t="e">
        <f t="shared" si="13"/>
        <v>#N/A</v>
      </c>
      <c r="E73" s="96" t="e">
        <f t="shared" si="14"/>
        <v>#N/A</v>
      </c>
      <c r="F73" s="96" t="e">
        <f t="shared" si="15"/>
        <v>#N/A</v>
      </c>
      <c r="G73" s="96" t="e">
        <f t="shared" si="6"/>
        <v>#N/A</v>
      </c>
      <c r="H73" s="96" t="e">
        <f t="shared" si="7"/>
        <v>#N/A</v>
      </c>
      <c r="I73" s="96" t="e">
        <f t="shared" si="8"/>
        <v>#N/A</v>
      </c>
      <c r="J73" s="96" t="e">
        <f t="shared" si="9"/>
        <v>#N/A</v>
      </c>
      <c r="K73" s="98"/>
      <c r="L73" s="98"/>
      <c r="N73" s="227" t="str">
        <f t="shared" si="11"/>
        <v/>
      </c>
      <c r="O73" s="228" t="e">
        <f t="shared" si="12"/>
        <v>#N/A</v>
      </c>
    </row>
    <row r="74" spans="1:15" x14ac:dyDescent="0.2">
      <c r="A74" s="254">
        <v>1950</v>
      </c>
      <c r="B74" s="226">
        <f>'1 Pattern 10min  Chart Reading'!B75</f>
        <v>0</v>
      </c>
      <c r="C74" s="95" t="e">
        <f t="shared" si="10"/>
        <v>#N/A</v>
      </c>
      <c r="D74" s="96" t="e">
        <f t="shared" si="13"/>
        <v>#N/A</v>
      </c>
      <c r="E74" s="96" t="e">
        <f t="shared" si="14"/>
        <v>#N/A</v>
      </c>
      <c r="F74" s="96" t="e">
        <f t="shared" si="15"/>
        <v>#N/A</v>
      </c>
      <c r="G74" s="96" t="e">
        <f t="shared" ref="G74:G137" si="16">C74-C68</f>
        <v>#N/A</v>
      </c>
      <c r="H74" s="96" t="e">
        <f t="shared" si="7"/>
        <v>#N/A</v>
      </c>
      <c r="I74" s="96" t="e">
        <f t="shared" si="8"/>
        <v>#N/A</v>
      </c>
      <c r="J74" s="96" t="e">
        <f t="shared" si="9"/>
        <v>#N/A</v>
      </c>
      <c r="K74" s="98"/>
      <c r="L74" s="98"/>
      <c r="N74" s="227" t="str">
        <f t="shared" si="11"/>
        <v/>
      </c>
      <c r="O74" s="228" t="e">
        <f t="shared" si="12"/>
        <v>#N/A</v>
      </c>
    </row>
    <row r="75" spans="1:15" x14ac:dyDescent="0.2">
      <c r="A75" s="254">
        <v>2000</v>
      </c>
      <c r="B75" s="226">
        <f>'1 Pattern 10min  Chart Reading'!B76</f>
        <v>0</v>
      </c>
      <c r="C75" s="95" t="e">
        <f t="shared" si="10"/>
        <v>#N/A</v>
      </c>
      <c r="D75" s="96" t="e">
        <f t="shared" si="13"/>
        <v>#N/A</v>
      </c>
      <c r="E75" s="96" t="e">
        <f t="shared" si="14"/>
        <v>#N/A</v>
      </c>
      <c r="F75" s="96" t="e">
        <f t="shared" si="15"/>
        <v>#N/A</v>
      </c>
      <c r="G75" s="96" t="e">
        <f t="shared" si="16"/>
        <v>#N/A</v>
      </c>
      <c r="H75" s="96" t="e">
        <f t="shared" si="7"/>
        <v>#N/A</v>
      </c>
      <c r="I75" s="96" t="e">
        <f t="shared" si="8"/>
        <v>#N/A</v>
      </c>
      <c r="J75" s="96" t="e">
        <f t="shared" si="9"/>
        <v>#N/A</v>
      </c>
      <c r="K75" s="95" t="e">
        <f>C75-C3</f>
        <v>#N/A</v>
      </c>
      <c r="L75" s="98"/>
      <c r="N75" s="227" t="str">
        <f t="shared" si="11"/>
        <v/>
      </c>
      <c r="O75" s="228" t="e">
        <f t="shared" si="12"/>
        <v>#N/A</v>
      </c>
    </row>
    <row r="76" spans="1:15" x14ac:dyDescent="0.2">
      <c r="A76" s="254">
        <v>2010</v>
      </c>
      <c r="B76" s="226">
        <f>'1 Pattern 10min  Chart Reading'!B77</f>
        <v>0</v>
      </c>
      <c r="C76" s="95" t="e">
        <f t="shared" si="10"/>
        <v>#N/A</v>
      </c>
      <c r="D76" s="96" t="e">
        <f t="shared" si="13"/>
        <v>#N/A</v>
      </c>
      <c r="E76" s="96" t="e">
        <f t="shared" si="14"/>
        <v>#N/A</v>
      </c>
      <c r="F76" s="96" t="e">
        <f t="shared" si="15"/>
        <v>#N/A</v>
      </c>
      <c r="G76" s="96" t="e">
        <f t="shared" si="16"/>
        <v>#N/A</v>
      </c>
      <c r="H76" s="96" t="e">
        <f t="shared" si="7"/>
        <v>#N/A</v>
      </c>
      <c r="I76" s="96" t="e">
        <f t="shared" si="8"/>
        <v>#N/A</v>
      </c>
      <c r="J76" s="96" t="e">
        <f t="shared" si="9"/>
        <v>#N/A</v>
      </c>
      <c r="K76" s="95" t="e">
        <f t="shared" ref="K76:K139" si="17">C76-C4</f>
        <v>#N/A</v>
      </c>
      <c r="L76" s="98"/>
      <c r="N76" s="227" t="str">
        <f t="shared" si="11"/>
        <v/>
      </c>
      <c r="O76" s="228" t="e">
        <f t="shared" si="12"/>
        <v>#N/A</v>
      </c>
    </row>
    <row r="77" spans="1:15" x14ac:dyDescent="0.2">
      <c r="A77" s="254">
        <v>2020</v>
      </c>
      <c r="B77" s="226">
        <f>'1 Pattern 10min  Chart Reading'!B78</f>
        <v>0</v>
      </c>
      <c r="C77" s="95" t="e">
        <f t="shared" si="10"/>
        <v>#N/A</v>
      </c>
      <c r="D77" s="96" t="e">
        <f t="shared" si="13"/>
        <v>#N/A</v>
      </c>
      <c r="E77" s="96" t="e">
        <f t="shared" si="14"/>
        <v>#N/A</v>
      </c>
      <c r="F77" s="96" t="e">
        <f t="shared" si="15"/>
        <v>#N/A</v>
      </c>
      <c r="G77" s="96" t="e">
        <f t="shared" si="16"/>
        <v>#N/A</v>
      </c>
      <c r="H77" s="96" t="e">
        <f t="shared" si="7"/>
        <v>#N/A</v>
      </c>
      <c r="I77" s="96" t="e">
        <f t="shared" si="8"/>
        <v>#N/A</v>
      </c>
      <c r="J77" s="96" t="e">
        <f t="shared" si="9"/>
        <v>#N/A</v>
      </c>
      <c r="K77" s="95" t="e">
        <f t="shared" si="17"/>
        <v>#N/A</v>
      </c>
      <c r="L77" s="98"/>
      <c r="N77" s="227" t="str">
        <f t="shared" si="11"/>
        <v/>
      </c>
      <c r="O77" s="228" t="e">
        <f t="shared" si="12"/>
        <v>#N/A</v>
      </c>
    </row>
    <row r="78" spans="1:15" x14ac:dyDescent="0.2">
      <c r="A78" s="254">
        <v>2030</v>
      </c>
      <c r="B78" s="226">
        <f>'1 Pattern 10min  Chart Reading'!B79</f>
        <v>0</v>
      </c>
      <c r="C78" s="95" t="e">
        <f t="shared" si="10"/>
        <v>#N/A</v>
      </c>
      <c r="D78" s="96" t="e">
        <f t="shared" si="13"/>
        <v>#N/A</v>
      </c>
      <c r="E78" s="96" t="e">
        <f t="shared" si="14"/>
        <v>#N/A</v>
      </c>
      <c r="F78" s="96" t="e">
        <f t="shared" si="15"/>
        <v>#N/A</v>
      </c>
      <c r="G78" s="96" t="e">
        <f t="shared" si="16"/>
        <v>#N/A</v>
      </c>
      <c r="H78" s="96" t="e">
        <f t="shared" si="7"/>
        <v>#N/A</v>
      </c>
      <c r="I78" s="96" t="e">
        <f t="shared" si="8"/>
        <v>#N/A</v>
      </c>
      <c r="J78" s="96" t="e">
        <f t="shared" si="9"/>
        <v>#N/A</v>
      </c>
      <c r="K78" s="95" t="e">
        <f t="shared" si="17"/>
        <v>#N/A</v>
      </c>
      <c r="L78" s="98"/>
      <c r="N78" s="227" t="str">
        <f t="shared" si="11"/>
        <v/>
      </c>
      <c r="O78" s="228" t="e">
        <f t="shared" si="12"/>
        <v>#N/A</v>
      </c>
    </row>
    <row r="79" spans="1:15" x14ac:dyDescent="0.2">
      <c r="A79" s="254">
        <v>2040</v>
      </c>
      <c r="B79" s="226">
        <f>'1 Pattern 10min  Chart Reading'!B80</f>
        <v>0</v>
      </c>
      <c r="C79" s="95" t="e">
        <f t="shared" si="10"/>
        <v>#N/A</v>
      </c>
      <c r="D79" s="96" t="e">
        <f t="shared" si="13"/>
        <v>#N/A</v>
      </c>
      <c r="E79" s="96" t="e">
        <f t="shared" si="14"/>
        <v>#N/A</v>
      </c>
      <c r="F79" s="96" t="e">
        <f t="shared" si="15"/>
        <v>#N/A</v>
      </c>
      <c r="G79" s="96" t="e">
        <f t="shared" si="16"/>
        <v>#N/A</v>
      </c>
      <c r="H79" s="96" t="e">
        <f t="shared" ref="H79:H142" si="18">C79-C67</f>
        <v>#N/A</v>
      </c>
      <c r="I79" s="96" t="e">
        <f t="shared" si="8"/>
        <v>#N/A</v>
      </c>
      <c r="J79" s="96" t="e">
        <f t="shared" si="9"/>
        <v>#N/A</v>
      </c>
      <c r="K79" s="95" t="e">
        <f t="shared" si="17"/>
        <v>#N/A</v>
      </c>
      <c r="L79" s="98"/>
      <c r="N79" s="227" t="str">
        <f t="shared" si="11"/>
        <v/>
      </c>
      <c r="O79" s="228" t="e">
        <f t="shared" si="12"/>
        <v>#N/A</v>
      </c>
    </row>
    <row r="80" spans="1:15" x14ac:dyDescent="0.2">
      <c r="A80" s="254">
        <v>2050</v>
      </c>
      <c r="B80" s="226">
        <f>'1 Pattern 10min  Chart Reading'!B81</f>
        <v>0</v>
      </c>
      <c r="C80" s="95" t="e">
        <f t="shared" si="10"/>
        <v>#N/A</v>
      </c>
      <c r="D80" s="96" t="e">
        <f t="shared" si="13"/>
        <v>#N/A</v>
      </c>
      <c r="E80" s="96" t="e">
        <f t="shared" si="14"/>
        <v>#N/A</v>
      </c>
      <c r="F80" s="96" t="e">
        <f t="shared" si="15"/>
        <v>#N/A</v>
      </c>
      <c r="G80" s="96" t="e">
        <f t="shared" si="16"/>
        <v>#N/A</v>
      </c>
      <c r="H80" s="96" t="e">
        <f t="shared" si="18"/>
        <v>#N/A</v>
      </c>
      <c r="I80" s="96" t="e">
        <f t="shared" si="8"/>
        <v>#N/A</v>
      </c>
      <c r="J80" s="96" t="e">
        <f t="shared" si="9"/>
        <v>#N/A</v>
      </c>
      <c r="K80" s="95" t="e">
        <f t="shared" si="17"/>
        <v>#N/A</v>
      </c>
      <c r="L80" s="98"/>
      <c r="N80" s="227" t="str">
        <f t="shared" si="11"/>
        <v/>
      </c>
      <c r="O80" s="228" t="e">
        <f t="shared" si="12"/>
        <v>#N/A</v>
      </c>
    </row>
    <row r="81" spans="1:15" x14ac:dyDescent="0.2">
      <c r="A81" s="254">
        <v>2100</v>
      </c>
      <c r="B81" s="226">
        <f>'1 Pattern 10min  Chart Reading'!B82</f>
        <v>0</v>
      </c>
      <c r="C81" s="95" t="e">
        <f t="shared" si="10"/>
        <v>#N/A</v>
      </c>
      <c r="D81" s="96" t="e">
        <f t="shared" si="13"/>
        <v>#N/A</v>
      </c>
      <c r="E81" s="96" t="e">
        <f t="shared" si="14"/>
        <v>#N/A</v>
      </c>
      <c r="F81" s="96" t="e">
        <f t="shared" si="15"/>
        <v>#N/A</v>
      </c>
      <c r="G81" s="96" t="e">
        <f t="shared" si="16"/>
        <v>#N/A</v>
      </c>
      <c r="H81" s="96" t="e">
        <f t="shared" si="18"/>
        <v>#N/A</v>
      </c>
      <c r="I81" s="96" t="e">
        <f t="shared" si="8"/>
        <v>#N/A</v>
      </c>
      <c r="J81" s="96" t="e">
        <f t="shared" si="9"/>
        <v>#N/A</v>
      </c>
      <c r="K81" s="95" t="e">
        <f t="shared" si="17"/>
        <v>#N/A</v>
      </c>
      <c r="L81" s="98"/>
      <c r="N81" s="227" t="str">
        <f t="shared" si="11"/>
        <v/>
      </c>
      <c r="O81" s="228" t="e">
        <f t="shared" si="12"/>
        <v>#N/A</v>
      </c>
    </row>
    <row r="82" spans="1:15" x14ac:dyDescent="0.2">
      <c r="A82" s="254">
        <v>2110</v>
      </c>
      <c r="B82" s="226">
        <f>'1 Pattern 10min  Chart Reading'!B83</f>
        <v>0</v>
      </c>
      <c r="C82" s="95" t="e">
        <f t="shared" si="10"/>
        <v>#N/A</v>
      </c>
      <c r="D82" s="96" t="e">
        <f t="shared" si="13"/>
        <v>#N/A</v>
      </c>
      <c r="E82" s="96" t="e">
        <f t="shared" si="14"/>
        <v>#N/A</v>
      </c>
      <c r="F82" s="96" t="e">
        <f t="shared" si="15"/>
        <v>#N/A</v>
      </c>
      <c r="G82" s="96" t="e">
        <f t="shared" si="16"/>
        <v>#N/A</v>
      </c>
      <c r="H82" s="96" t="e">
        <f t="shared" si="18"/>
        <v>#N/A</v>
      </c>
      <c r="I82" s="96" t="e">
        <f t="shared" si="8"/>
        <v>#N/A</v>
      </c>
      <c r="J82" s="96" t="e">
        <f t="shared" si="9"/>
        <v>#N/A</v>
      </c>
      <c r="K82" s="95" t="e">
        <f t="shared" si="17"/>
        <v>#N/A</v>
      </c>
      <c r="L82" s="98"/>
      <c r="N82" s="227" t="str">
        <f t="shared" si="11"/>
        <v/>
      </c>
      <c r="O82" s="228" t="e">
        <f t="shared" si="12"/>
        <v>#N/A</v>
      </c>
    </row>
    <row r="83" spans="1:15" x14ac:dyDescent="0.2">
      <c r="A83" s="254">
        <v>2120</v>
      </c>
      <c r="B83" s="226">
        <f>'1 Pattern 10min  Chart Reading'!B84</f>
        <v>0</v>
      </c>
      <c r="C83" s="95" t="e">
        <f t="shared" si="10"/>
        <v>#N/A</v>
      </c>
      <c r="D83" s="96" t="e">
        <f t="shared" si="13"/>
        <v>#N/A</v>
      </c>
      <c r="E83" s="96" t="e">
        <f t="shared" si="14"/>
        <v>#N/A</v>
      </c>
      <c r="F83" s="96" t="e">
        <f t="shared" si="15"/>
        <v>#N/A</v>
      </c>
      <c r="G83" s="96" t="e">
        <f t="shared" si="16"/>
        <v>#N/A</v>
      </c>
      <c r="H83" s="96" t="e">
        <f t="shared" si="18"/>
        <v>#N/A</v>
      </c>
      <c r="I83" s="96" t="e">
        <f t="shared" si="8"/>
        <v>#N/A</v>
      </c>
      <c r="J83" s="96" t="e">
        <f t="shared" si="9"/>
        <v>#N/A</v>
      </c>
      <c r="K83" s="95" t="e">
        <f t="shared" si="17"/>
        <v>#N/A</v>
      </c>
      <c r="L83" s="98"/>
      <c r="N83" s="227" t="str">
        <f t="shared" si="11"/>
        <v/>
      </c>
      <c r="O83" s="228" t="e">
        <f t="shared" si="12"/>
        <v>#N/A</v>
      </c>
    </row>
    <row r="84" spans="1:15" x14ac:dyDescent="0.2">
      <c r="A84" s="254">
        <v>2130</v>
      </c>
      <c r="B84" s="226">
        <f>'1 Pattern 10min  Chart Reading'!B85</f>
        <v>0</v>
      </c>
      <c r="C84" s="95" t="e">
        <f t="shared" si="10"/>
        <v>#N/A</v>
      </c>
      <c r="D84" s="96" t="e">
        <f t="shared" si="13"/>
        <v>#N/A</v>
      </c>
      <c r="E84" s="96" t="e">
        <f t="shared" si="14"/>
        <v>#N/A</v>
      </c>
      <c r="F84" s="96" t="e">
        <f t="shared" si="15"/>
        <v>#N/A</v>
      </c>
      <c r="G84" s="96" t="e">
        <f t="shared" si="16"/>
        <v>#N/A</v>
      </c>
      <c r="H84" s="96" t="e">
        <f t="shared" si="18"/>
        <v>#N/A</v>
      </c>
      <c r="I84" s="96" t="e">
        <f t="shared" si="8"/>
        <v>#N/A</v>
      </c>
      <c r="J84" s="96" t="e">
        <f t="shared" si="9"/>
        <v>#N/A</v>
      </c>
      <c r="K84" s="95" t="e">
        <f t="shared" si="17"/>
        <v>#N/A</v>
      </c>
      <c r="L84" s="98"/>
      <c r="N84" s="227" t="str">
        <f t="shared" si="11"/>
        <v/>
      </c>
      <c r="O84" s="228" t="e">
        <f t="shared" si="12"/>
        <v>#N/A</v>
      </c>
    </row>
    <row r="85" spans="1:15" x14ac:dyDescent="0.2">
      <c r="A85" s="254">
        <v>2140</v>
      </c>
      <c r="B85" s="226">
        <f>'1 Pattern 10min  Chart Reading'!B86</f>
        <v>0</v>
      </c>
      <c r="C85" s="95" t="e">
        <f t="shared" si="10"/>
        <v>#N/A</v>
      </c>
      <c r="D85" s="96" t="e">
        <f t="shared" si="13"/>
        <v>#N/A</v>
      </c>
      <c r="E85" s="96" t="e">
        <f t="shared" si="14"/>
        <v>#N/A</v>
      </c>
      <c r="F85" s="96" t="e">
        <f t="shared" si="15"/>
        <v>#N/A</v>
      </c>
      <c r="G85" s="96" t="e">
        <f t="shared" si="16"/>
        <v>#N/A</v>
      </c>
      <c r="H85" s="96" t="e">
        <f t="shared" si="18"/>
        <v>#N/A</v>
      </c>
      <c r="I85" s="96" t="e">
        <f t="shared" ref="I85:I147" si="19">C85-C67</f>
        <v>#N/A</v>
      </c>
      <c r="J85" s="96" t="e">
        <f t="shared" si="9"/>
        <v>#N/A</v>
      </c>
      <c r="K85" s="95" t="e">
        <f t="shared" si="17"/>
        <v>#N/A</v>
      </c>
      <c r="L85" s="98"/>
      <c r="N85" s="227" t="str">
        <f t="shared" si="11"/>
        <v/>
      </c>
      <c r="O85" s="228" t="e">
        <f t="shared" si="12"/>
        <v>#N/A</v>
      </c>
    </row>
    <row r="86" spans="1:15" x14ac:dyDescent="0.2">
      <c r="A86" s="254">
        <v>2150</v>
      </c>
      <c r="B86" s="226">
        <f>'1 Pattern 10min  Chart Reading'!B87</f>
        <v>0</v>
      </c>
      <c r="C86" s="95" t="e">
        <f t="shared" si="10"/>
        <v>#N/A</v>
      </c>
      <c r="D86" s="96" t="e">
        <f t="shared" si="13"/>
        <v>#N/A</v>
      </c>
      <c r="E86" s="96" t="e">
        <f t="shared" si="14"/>
        <v>#N/A</v>
      </c>
      <c r="F86" s="96" t="e">
        <f t="shared" si="15"/>
        <v>#N/A</v>
      </c>
      <c r="G86" s="96" t="e">
        <f t="shared" si="16"/>
        <v>#N/A</v>
      </c>
      <c r="H86" s="96" t="e">
        <f t="shared" si="18"/>
        <v>#N/A</v>
      </c>
      <c r="I86" s="96" t="e">
        <f t="shared" si="19"/>
        <v>#N/A</v>
      </c>
      <c r="J86" s="96" t="e">
        <f t="shared" si="9"/>
        <v>#N/A</v>
      </c>
      <c r="K86" s="95" t="e">
        <f t="shared" si="17"/>
        <v>#N/A</v>
      </c>
      <c r="L86" s="98"/>
      <c r="N86" s="227" t="str">
        <f t="shared" si="11"/>
        <v/>
      </c>
      <c r="O86" s="228" t="e">
        <f t="shared" si="12"/>
        <v>#N/A</v>
      </c>
    </row>
    <row r="87" spans="1:15" x14ac:dyDescent="0.2">
      <c r="A87" s="254">
        <v>2200</v>
      </c>
      <c r="B87" s="226">
        <f>'1 Pattern 10min  Chart Reading'!B88</f>
        <v>0</v>
      </c>
      <c r="C87" s="95" t="e">
        <f t="shared" si="10"/>
        <v>#N/A</v>
      </c>
      <c r="D87" s="96" t="e">
        <f t="shared" si="13"/>
        <v>#N/A</v>
      </c>
      <c r="E87" s="96" t="e">
        <f t="shared" si="14"/>
        <v>#N/A</v>
      </c>
      <c r="F87" s="96" t="e">
        <f t="shared" si="15"/>
        <v>#N/A</v>
      </c>
      <c r="G87" s="96" t="e">
        <f t="shared" si="16"/>
        <v>#N/A</v>
      </c>
      <c r="H87" s="96" t="e">
        <f t="shared" si="18"/>
        <v>#N/A</v>
      </c>
      <c r="I87" s="96" t="e">
        <f t="shared" si="19"/>
        <v>#N/A</v>
      </c>
      <c r="J87" s="96" t="e">
        <f t="shared" si="9"/>
        <v>#N/A</v>
      </c>
      <c r="K87" s="95" t="e">
        <f t="shared" si="17"/>
        <v>#N/A</v>
      </c>
      <c r="L87" s="98"/>
      <c r="N87" s="227" t="str">
        <f t="shared" si="11"/>
        <v/>
      </c>
      <c r="O87" s="228" t="e">
        <f t="shared" si="12"/>
        <v>#N/A</v>
      </c>
    </row>
    <row r="88" spans="1:15" x14ac:dyDescent="0.2">
      <c r="A88" s="254">
        <v>2210</v>
      </c>
      <c r="B88" s="226">
        <f>'1 Pattern 10min  Chart Reading'!B89</f>
        <v>0</v>
      </c>
      <c r="C88" s="95" t="e">
        <f t="shared" si="10"/>
        <v>#N/A</v>
      </c>
      <c r="D88" s="96" t="e">
        <f t="shared" si="13"/>
        <v>#N/A</v>
      </c>
      <c r="E88" s="96" t="e">
        <f t="shared" si="14"/>
        <v>#N/A</v>
      </c>
      <c r="F88" s="96" t="e">
        <f t="shared" si="15"/>
        <v>#N/A</v>
      </c>
      <c r="G88" s="96" t="e">
        <f t="shared" si="16"/>
        <v>#N/A</v>
      </c>
      <c r="H88" s="96" t="e">
        <f t="shared" si="18"/>
        <v>#N/A</v>
      </c>
      <c r="I88" s="96" t="e">
        <f t="shared" si="19"/>
        <v>#N/A</v>
      </c>
      <c r="J88" s="96" t="e">
        <f t="shared" si="9"/>
        <v>#N/A</v>
      </c>
      <c r="K88" s="95" t="e">
        <f t="shared" si="17"/>
        <v>#N/A</v>
      </c>
      <c r="L88" s="98"/>
      <c r="N88" s="227" t="str">
        <f t="shared" si="11"/>
        <v/>
      </c>
      <c r="O88" s="228" t="e">
        <f t="shared" si="12"/>
        <v>#N/A</v>
      </c>
    </row>
    <row r="89" spans="1:15" x14ac:dyDescent="0.2">
      <c r="A89" s="254">
        <v>2220</v>
      </c>
      <c r="B89" s="226">
        <f>'1 Pattern 10min  Chart Reading'!B90</f>
        <v>0</v>
      </c>
      <c r="C89" s="95" t="e">
        <f t="shared" si="10"/>
        <v>#N/A</v>
      </c>
      <c r="D89" s="96" t="e">
        <f t="shared" si="13"/>
        <v>#N/A</v>
      </c>
      <c r="E89" s="96" t="e">
        <f t="shared" si="14"/>
        <v>#N/A</v>
      </c>
      <c r="F89" s="96" t="e">
        <f t="shared" si="15"/>
        <v>#N/A</v>
      </c>
      <c r="G89" s="96" t="e">
        <f t="shared" si="16"/>
        <v>#N/A</v>
      </c>
      <c r="H89" s="96" t="e">
        <f t="shared" si="18"/>
        <v>#N/A</v>
      </c>
      <c r="I89" s="96" t="e">
        <f t="shared" si="19"/>
        <v>#N/A</v>
      </c>
      <c r="J89" s="96" t="e">
        <f t="shared" si="9"/>
        <v>#N/A</v>
      </c>
      <c r="K89" s="95" t="e">
        <f t="shared" si="17"/>
        <v>#N/A</v>
      </c>
      <c r="L89" s="98"/>
      <c r="N89" s="227" t="str">
        <f t="shared" si="11"/>
        <v/>
      </c>
      <c r="O89" s="228" t="e">
        <f t="shared" si="12"/>
        <v>#N/A</v>
      </c>
    </row>
    <row r="90" spans="1:15" x14ac:dyDescent="0.2">
      <c r="A90" s="254">
        <v>2230</v>
      </c>
      <c r="B90" s="226">
        <f>'1 Pattern 10min  Chart Reading'!B91</f>
        <v>0</v>
      </c>
      <c r="C90" s="95" t="e">
        <f t="shared" si="10"/>
        <v>#N/A</v>
      </c>
      <c r="D90" s="96" t="e">
        <f t="shared" si="13"/>
        <v>#N/A</v>
      </c>
      <c r="E90" s="96" t="e">
        <f t="shared" si="14"/>
        <v>#N/A</v>
      </c>
      <c r="F90" s="96" t="e">
        <f t="shared" si="15"/>
        <v>#N/A</v>
      </c>
      <c r="G90" s="96" t="e">
        <f t="shared" si="16"/>
        <v>#N/A</v>
      </c>
      <c r="H90" s="96" t="e">
        <f t="shared" si="18"/>
        <v>#N/A</v>
      </c>
      <c r="I90" s="96" t="e">
        <f t="shared" si="19"/>
        <v>#N/A</v>
      </c>
      <c r="J90" s="96" t="e">
        <f t="shared" si="9"/>
        <v>#N/A</v>
      </c>
      <c r="K90" s="95" t="e">
        <f t="shared" si="17"/>
        <v>#N/A</v>
      </c>
      <c r="L90" s="98"/>
      <c r="N90" s="227" t="str">
        <f t="shared" si="11"/>
        <v/>
      </c>
      <c r="O90" s="228" t="e">
        <f t="shared" si="12"/>
        <v>#N/A</v>
      </c>
    </row>
    <row r="91" spans="1:15" x14ac:dyDescent="0.2">
      <c r="A91" s="254">
        <v>2240</v>
      </c>
      <c r="B91" s="226">
        <f>'1 Pattern 10min  Chart Reading'!B92</f>
        <v>0</v>
      </c>
      <c r="C91" s="95" t="e">
        <f t="shared" si="10"/>
        <v>#N/A</v>
      </c>
      <c r="D91" s="96" t="e">
        <f t="shared" si="13"/>
        <v>#N/A</v>
      </c>
      <c r="E91" s="96" t="e">
        <f t="shared" si="14"/>
        <v>#N/A</v>
      </c>
      <c r="F91" s="96" t="e">
        <f t="shared" si="15"/>
        <v>#N/A</v>
      </c>
      <c r="G91" s="96" t="e">
        <f t="shared" si="16"/>
        <v>#N/A</v>
      </c>
      <c r="H91" s="96" t="e">
        <f t="shared" si="18"/>
        <v>#N/A</v>
      </c>
      <c r="I91" s="96" t="e">
        <f t="shared" si="19"/>
        <v>#N/A</v>
      </c>
      <c r="J91" s="96" t="e">
        <f t="shared" si="9"/>
        <v>#N/A</v>
      </c>
      <c r="K91" s="95" t="e">
        <f t="shared" si="17"/>
        <v>#N/A</v>
      </c>
      <c r="L91" s="98"/>
      <c r="N91" s="227" t="str">
        <f t="shared" si="11"/>
        <v/>
      </c>
      <c r="O91" s="228" t="e">
        <f t="shared" si="12"/>
        <v>#N/A</v>
      </c>
    </row>
    <row r="92" spans="1:15" x14ac:dyDescent="0.2">
      <c r="A92" s="254">
        <v>2250</v>
      </c>
      <c r="B92" s="226">
        <f>'1 Pattern 10min  Chart Reading'!B93</f>
        <v>0</v>
      </c>
      <c r="C92" s="95" t="e">
        <f t="shared" si="10"/>
        <v>#N/A</v>
      </c>
      <c r="D92" s="96" t="e">
        <f t="shared" si="13"/>
        <v>#N/A</v>
      </c>
      <c r="E92" s="96" t="e">
        <f t="shared" si="14"/>
        <v>#N/A</v>
      </c>
      <c r="F92" s="96" t="e">
        <f t="shared" si="15"/>
        <v>#N/A</v>
      </c>
      <c r="G92" s="96" t="e">
        <f t="shared" si="16"/>
        <v>#N/A</v>
      </c>
      <c r="H92" s="96" t="e">
        <f t="shared" si="18"/>
        <v>#N/A</v>
      </c>
      <c r="I92" s="96" t="e">
        <f t="shared" si="19"/>
        <v>#N/A</v>
      </c>
      <c r="J92" s="96" t="e">
        <f t="shared" si="9"/>
        <v>#N/A</v>
      </c>
      <c r="K92" s="95" t="e">
        <f t="shared" si="17"/>
        <v>#N/A</v>
      </c>
      <c r="L92" s="98"/>
      <c r="N92" s="227" t="str">
        <f t="shared" si="11"/>
        <v/>
      </c>
      <c r="O92" s="228" t="e">
        <f t="shared" si="12"/>
        <v>#N/A</v>
      </c>
    </row>
    <row r="93" spans="1:15" x14ac:dyDescent="0.2">
      <c r="A93" s="254">
        <v>2300</v>
      </c>
      <c r="B93" s="226">
        <f>'1 Pattern 10min  Chart Reading'!B94</f>
        <v>0</v>
      </c>
      <c r="C93" s="95" t="e">
        <f t="shared" si="10"/>
        <v>#N/A</v>
      </c>
      <c r="D93" s="96" t="e">
        <f t="shared" si="13"/>
        <v>#N/A</v>
      </c>
      <c r="E93" s="96" t="e">
        <f t="shared" si="14"/>
        <v>#N/A</v>
      </c>
      <c r="F93" s="96" t="e">
        <f t="shared" si="15"/>
        <v>#N/A</v>
      </c>
      <c r="G93" s="96" t="e">
        <f t="shared" si="16"/>
        <v>#N/A</v>
      </c>
      <c r="H93" s="96" t="e">
        <f t="shared" si="18"/>
        <v>#N/A</v>
      </c>
      <c r="I93" s="96" t="e">
        <f t="shared" si="19"/>
        <v>#N/A</v>
      </c>
      <c r="J93" s="96" t="e">
        <f t="shared" si="9"/>
        <v>#N/A</v>
      </c>
      <c r="K93" s="95" t="e">
        <f t="shared" si="17"/>
        <v>#N/A</v>
      </c>
      <c r="L93" s="98"/>
      <c r="N93" s="227" t="str">
        <f t="shared" si="11"/>
        <v/>
      </c>
      <c r="O93" s="228" t="e">
        <f t="shared" si="12"/>
        <v>#N/A</v>
      </c>
    </row>
    <row r="94" spans="1:15" x14ac:dyDescent="0.2">
      <c r="A94" s="254">
        <v>2310</v>
      </c>
      <c r="B94" s="226">
        <f>'1 Pattern 10min  Chart Reading'!B95</f>
        <v>0</v>
      </c>
      <c r="C94" s="95" t="e">
        <f t="shared" si="10"/>
        <v>#N/A</v>
      </c>
      <c r="D94" s="96" t="e">
        <f t="shared" si="13"/>
        <v>#N/A</v>
      </c>
      <c r="E94" s="96" t="e">
        <f t="shared" si="14"/>
        <v>#N/A</v>
      </c>
      <c r="F94" s="96" t="e">
        <f t="shared" si="15"/>
        <v>#N/A</v>
      </c>
      <c r="G94" s="96" t="e">
        <f t="shared" si="16"/>
        <v>#N/A</v>
      </c>
      <c r="H94" s="96" t="e">
        <f t="shared" si="18"/>
        <v>#N/A</v>
      </c>
      <c r="I94" s="96" t="e">
        <f t="shared" si="19"/>
        <v>#N/A</v>
      </c>
      <c r="J94" s="96" t="e">
        <f t="shared" si="9"/>
        <v>#N/A</v>
      </c>
      <c r="K94" s="95" t="e">
        <f t="shared" si="17"/>
        <v>#N/A</v>
      </c>
      <c r="L94" s="98"/>
      <c r="N94" s="227" t="str">
        <f t="shared" si="11"/>
        <v/>
      </c>
      <c r="O94" s="228" t="e">
        <f t="shared" si="12"/>
        <v>#N/A</v>
      </c>
    </row>
    <row r="95" spans="1:15" x14ac:dyDescent="0.2">
      <c r="A95" s="254">
        <v>2320</v>
      </c>
      <c r="B95" s="226">
        <f>'1 Pattern 10min  Chart Reading'!B96</f>
        <v>0</v>
      </c>
      <c r="C95" s="95" t="e">
        <f t="shared" si="10"/>
        <v>#N/A</v>
      </c>
      <c r="D95" s="96" t="e">
        <f t="shared" si="13"/>
        <v>#N/A</v>
      </c>
      <c r="E95" s="96" t="e">
        <f t="shared" si="14"/>
        <v>#N/A</v>
      </c>
      <c r="F95" s="96" t="e">
        <f t="shared" si="15"/>
        <v>#N/A</v>
      </c>
      <c r="G95" s="96" t="e">
        <f t="shared" si="16"/>
        <v>#N/A</v>
      </c>
      <c r="H95" s="96" t="e">
        <f t="shared" si="18"/>
        <v>#N/A</v>
      </c>
      <c r="I95" s="96" t="e">
        <f t="shared" si="19"/>
        <v>#N/A</v>
      </c>
      <c r="J95" s="96" t="e">
        <f t="shared" si="9"/>
        <v>#N/A</v>
      </c>
      <c r="K95" s="95" t="e">
        <f t="shared" si="17"/>
        <v>#N/A</v>
      </c>
      <c r="L95" s="98"/>
      <c r="N95" s="227" t="str">
        <f t="shared" si="11"/>
        <v/>
      </c>
      <c r="O95" s="228" t="e">
        <f t="shared" si="12"/>
        <v>#N/A</v>
      </c>
    </row>
    <row r="96" spans="1:15" x14ac:dyDescent="0.2">
      <c r="A96" s="254">
        <v>2330</v>
      </c>
      <c r="B96" s="226">
        <f>'1 Pattern 10min  Chart Reading'!B97</f>
        <v>0</v>
      </c>
      <c r="C96" s="95" t="e">
        <f t="shared" si="10"/>
        <v>#N/A</v>
      </c>
      <c r="D96" s="96" t="e">
        <f t="shared" si="13"/>
        <v>#N/A</v>
      </c>
      <c r="E96" s="96" t="e">
        <f t="shared" si="14"/>
        <v>#N/A</v>
      </c>
      <c r="F96" s="96" t="e">
        <f t="shared" si="15"/>
        <v>#N/A</v>
      </c>
      <c r="G96" s="96" t="e">
        <f t="shared" si="16"/>
        <v>#N/A</v>
      </c>
      <c r="H96" s="96" t="e">
        <f t="shared" si="18"/>
        <v>#N/A</v>
      </c>
      <c r="I96" s="96" t="e">
        <f t="shared" si="19"/>
        <v>#N/A</v>
      </c>
      <c r="J96" s="96" t="e">
        <f t="shared" si="9"/>
        <v>#N/A</v>
      </c>
      <c r="K96" s="95" t="e">
        <f t="shared" si="17"/>
        <v>#N/A</v>
      </c>
      <c r="L96" s="98"/>
      <c r="N96" s="227" t="str">
        <f t="shared" si="11"/>
        <v/>
      </c>
      <c r="O96" s="228" t="e">
        <f t="shared" si="12"/>
        <v>#N/A</v>
      </c>
    </row>
    <row r="97" spans="1:15" x14ac:dyDescent="0.2">
      <c r="A97" s="254">
        <v>2340</v>
      </c>
      <c r="B97" s="226">
        <f>'1 Pattern 10min  Chart Reading'!B98</f>
        <v>0</v>
      </c>
      <c r="C97" s="95" t="e">
        <f t="shared" si="10"/>
        <v>#N/A</v>
      </c>
      <c r="D97" s="96" t="e">
        <f t="shared" si="13"/>
        <v>#N/A</v>
      </c>
      <c r="E97" s="96" t="e">
        <f t="shared" si="14"/>
        <v>#N/A</v>
      </c>
      <c r="F97" s="96" t="e">
        <f t="shared" si="15"/>
        <v>#N/A</v>
      </c>
      <c r="G97" s="96" t="e">
        <f t="shared" si="16"/>
        <v>#N/A</v>
      </c>
      <c r="H97" s="96" t="e">
        <f t="shared" si="18"/>
        <v>#N/A</v>
      </c>
      <c r="I97" s="96" t="e">
        <f t="shared" si="19"/>
        <v>#N/A</v>
      </c>
      <c r="J97" s="96" t="e">
        <f t="shared" si="9"/>
        <v>#N/A</v>
      </c>
      <c r="K97" s="95" t="e">
        <f t="shared" si="17"/>
        <v>#N/A</v>
      </c>
      <c r="L97" s="98"/>
      <c r="N97" s="227" t="str">
        <f t="shared" si="11"/>
        <v/>
      </c>
      <c r="O97" s="228" t="e">
        <f t="shared" si="12"/>
        <v>#N/A</v>
      </c>
    </row>
    <row r="98" spans="1:15" x14ac:dyDescent="0.2">
      <c r="A98" s="254">
        <v>2350</v>
      </c>
      <c r="B98" s="226">
        <f>'1 Pattern 10min  Chart Reading'!B99</f>
        <v>0</v>
      </c>
      <c r="C98" s="95" t="e">
        <f t="shared" si="10"/>
        <v>#N/A</v>
      </c>
      <c r="D98" s="96" t="e">
        <f t="shared" si="13"/>
        <v>#N/A</v>
      </c>
      <c r="E98" s="96" t="e">
        <f t="shared" si="14"/>
        <v>#N/A</v>
      </c>
      <c r="F98" s="96" t="e">
        <f t="shared" si="15"/>
        <v>#N/A</v>
      </c>
      <c r="G98" s="96" t="e">
        <f t="shared" si="16"/>
        <v>#N/A</v>
      </c>
      <c r="H98" s="96" t="e">
        <f t="shared" si="18"/>
        <v>#N/A</v>
      </c>
      <c r="I98" s="96" t="e">
        <f t="shared" si="19"/>
        <v>#N/A</v>
      </c>
      <c r="J98" s="96" t="e">
        <f t="shared" si="9"/>
        <v>#N/A</v>
      </c>
      <c r="K98" s="95" t="e">
        <f t="shared" si="17"/>
        <v>#N/A</v>
      </c>
      <c r="L98" s="98"/>
      <c r="N98" s="227" t="str">
        <f t="shared" si="11"/>
        <v/>
      </c>
      <c r="O98" s="228" t="e">
        <f t="shared" si="12"/>
        <v>#N/A</v>
      </c>
    </row>
    <row r="99" spans="1:15" x14ac:dyDescent="0.2">
      <c r="A99" s="254">
        <v>2400</v>
      </c>
      <c r="B99" s="226">
        <f>'1 Pattern 10min  Chart Reading'!B100</f>
        <v>0</v>
      </c>
      <c r="C99" s="95" t="e">
        <f t="shared" si="10"/>
        <v>#N/A</v>
      </c>
      <c r="D99" s="96" t="e">
        <f t="shared" si="13"/>
        <v>#N/A</v>
      </c>
      <c r="E99" s="96" t="e">
        <f t="shared" si="14"/>
        <v>#N/A</v>
      </c>
      <c r="F99" s="96" t="e">
        <f t="shared" si="15"/>
        <v>#N/A</v>
      </c>
      <c r="G99" s="96" t="e">
        <f t="shared" si="16"/>
        <v>#N/A</v>
      </c>
      <c r="H99" s="96" t="e">
        <f t="shared" si="18"/>
        <v>#N/A</v>
      </c>
      <c r="I99" s="96" t="e">
        <f t="shared" si="19"/>
        <v>#N/A</v>
      </c>
      <c r="J99" s="96" t="e">
        <f t="shared" si="9"/>
        <v>#N/A</v>
      </c>
      <c r="K99" s="95" t="e">
        <f t="shared" si="17"/>
        <v>#N/A</v>
      </c>
      <c r="L99" s="98"/>
      <c r="N99" s="227" t="str">
        <f t="shared" si="11"/>
        <v/>
      </c>
      <c r="O99" s="228" t="e">
        <f t="shared" si="12"/>
        <v>#N/A</v>
      </c>
    </row>
    <row r="100" spans="1:15" x14ac:dyDescent="0.2">
      <c r="A100" s="254">
        <v>2410</v>
      </c>
      <c r="B100" s="226">
        <f>'1 Pattern 10min  Chart Reading'!B101</f>
        <v>0</v>
      </c>
      <c r="C100" s="95" t="e">
        <f t="shared" si="10"/>
        <v>#N/A</v>
      </c>
      <c r="D100" s="96" t="e">
        <f t="shared" si="13"/>
        <v>#N/A</v>
      </c>
      <c r="E100" s="96" t="e">
        <f t="shared" si="14"/>
        <v>#N/A</v>
      </c>
      <c r="F100" s="96" t="e">
        <f t="shared" si="15"/>
        <v>#N/A</v>
      </c>
      <c r="G100" s="96" t="e">
        <f t="shared" si="16"/>
        <v>#N/A</v>
      </c>
      <c r="H100" s="96" t="e">
        <f t="shared" si="18"/>
        <v>#N/A</v>
      </c>
      <c r="I100" s="96" t="e">
        <f t="shared" si="19"/>
        <v>#N/A</v>
      </c>
      <c r="J100" s="96" t="e">
        <f t="shared" si="9"/>
        <v>#N/A</v>
      </c>
      <c r="K100" s="95" t="e">
        <f t="shared" si="17"/>
        <v>#N/A</v>
      </c>
      <c r="L100" s="98"/>
      <c r="N100" s="227" t="str">
        <f t="shared" si="11"/>
        <v/>
      </c>
      <c r="O100" s="228" t="e">
        <f t="shared" si="12"/>
        <v>#N/A</v>
      </c>
    </row>
    <row r="101" spans="1:15" x14ac:dyDescent="0.2">
      <c r="A101" s="254">
        <v>2420</v>
      </c>
      <c r="B101" s="226">
        <f>'1 Pattern 10min  Chart Reading'!B102</f>
        <v>0</v>
      </c>
      <c r="C101" s="95" t="e">
        <f t="shared" si="10"/>
        <v>#N/A</v>
      </c>
      <c r="D101" s="96" t="e">
        <f t="shared" si="13"/>
        <v>#N/A</v>
      </c>
      <c r="E101" s="96" t="e">
        <f t="shared" si="14"/>
        <v>#N/A</v>
      </c>
      <c r="F101" s="96" t="e">
        <f t="shared" si="15"/>
        <v>#N/A</v>
      </c>
      <c r="G101" s="96" t="e">
        <f t="shared" si="16"/>
        <v>#N/A</v>
      </c>
      <c r="H101" s="96" t="e">
        <f t="shared" si="18"/>
        <v>#N/A</v>
      </c>
      <c r="I101" s="96" t="e">
        <f t="shared" si="19"/>
        <v>#N/A</v>
      </c>
      <c r="J101" s="96" t="e">
        <f t="shared" si="9"/>
        <v>#N/A</v>
      </c>
      <c r="K101" s="95" t="e">
        <f t="shared" si="17"/>
        <v>#N/A</v>
      </c>
      <c r="L101" s="98"/>
      <c r="N101" s="227" t="str">
        <f t="shared" si="11"/>
        <v/>
      </c>
      <c r="O101" s="228" t="e">
        <f t="shared" si="12"/>
        <v>#N/A</v>
      </c>
    </row>
    <row r="102" spans="1:15" x14ac:dyDescent="0.2">
      <c r="A102" s="254">
        <v>2430</v>
      </c>
      <c r="B102" s="226">
        <f>'1 Pattern 10min  Chart Reading'!B103</f>
        <v>0</v>
      </c>
      <c r="C102" s="95" t="e">
        <f t="shared" si="10"/>
        <v>#N/A</v>
      </c>
      <c r="D102" s="96" t="e">
        <f t="shared" si="13"/>
        <v>#N/A</v>
      </c>
      <c r="E102" s="96" t="e">
        <f t="shared" si="14"/>
        <v>#N/A</v>
      </c>
      <c r="F102" s="96" t="e">
        <f t="shared" si="15"/>
        <v>#N/A</v>
      </c>
      <c r="G102" s="96" t="e">
        <f t="shared" si="16"/>
        <v>#N/A</v>
      </c>
      <c r="H102" s="96" t="e">
        <f t="shared" si="18"/>
        <v>#N/A</v>
      </c>
      <c r="I102" s="96" t="e">
        <f t="shared" si="19"/>
        <v>#N/A</v>
      </c>
      <c r="J102" s="96" t="e">
        <f t="shared" si="9"/>
        <v>#N/A</v>
      </c>
      <c r="K102" s="95" t="e">
        <f t="shared" si="17"/>
        <v>#N/A</v>
      </c>
      <c r="L102" s="98"/>
      <c r="N102" s="227" t="str">
        <f t="shared" si="11"/>
        <v/>
      </c>
      <c r="O102" s="228" t="e">
        <f t="shared" si="12"/>
        <v>#N/A</v>
      </c>
    </row>
    <row r="103" spans="1:15" x14ac:dyDescent="0.2">
      <c r="A103" s="254">
        <v>2440</v>
      </c>
      <c r="B103" s="226">
        <f>'1 Pattern 10min  Chart Reading'!B104</f>
        <v>0</v>
      </c>
      <c r="C103" s="95" t="e">
        <f t="shared" si="10"/>
        <v>#N/A</v>
      </c>
      <c r="D103" s="96" t="e">
        <f t="shared" si="13"/>
        <v>#N/A</v>
      </c>
      <c r="E103" s="96" t="e">
        <f t="shared" si="14"/>
        <v>#N/A</v>
      </c>
      <c r="F103" s="96" t="e">
        <f t="shared" si="15"/>
        <v>#N/A</v>
      </c>
      <c r="G103" s="96" t="e">
        <f t="shared" si="16"/>
        <v>#N/A</v>
      </c>
      <c r="H103" s="96" t="e">
        <f t="shared" si="18"/>
        <v>#N/A</v>
      </c>
      <c r="I103" s="96" t="e">
        <f t="shared" si="19"/>
        <v>#N/A</v>
      </c>
      <c r="J103" s="96" t="e">
        <f t="shared" si="9"/>
        <v>#N/A</v>
      </c>
      <c r="K103" s="95" t="e">
        <f t="shared" si="17"/>
        <v>#N/A</v>
      </c>
      <c r="L103" s="98"/>
      <c r="N103" s="227" t="str">
        <f t="shared" si="11"/>
        <v/>
      </c>
      <c r="O103" s="228" t="e">
        <f t="shared" si="12"/>
        <v>#N/A</v>
      </c>
    </row>
    <row r="104" spans="1:15" x14ac:dyDescent="0.2">
      <c r="A104" s="254">
        <v>2450</v>
      </c>
      <c r="B104" s="226">
        <f>'1 Pattern 10min  Chart Reading'!B105</f>
        <v>0</v>
      </c>
      <c r="C104" s="95" t="e">
        <f t="shared" si="10"/>
        <v>#N/A</v>
      </c>
      <c r="D104" s="96" t="e">
        <f t="shared" si="13"/>
        <v>#N/A</v>
      </c>
      <c r="E104" s="96" t="e">
        <f t="shared" si="14"/>
        <v>#N/A</v>
      </c>
      <c r="F104" s="96" t="e">
        <f t="shared" si="15"/>
        <v>#N/A</v>
      </c>
      <c r="G104" s="96" t="e">
        <f t="shared" si="16"/>
        <v>#N/A</v>
      </c>
      <c r="H104" s="96" t="e">
        <f t="shared" si="18"/>
        <v>#N/A</v>
      </c>
      <c r="I104" s="96" t="e">
        <f t="shared" si="19"/>
        <v>#N/A</v>
      </c>
      <c r="J104" s="96" t="e">
        <f t="shared" ref="J104:J147" si="20">C104-C68</f>
        <v>#N/A</v>
      </c>
      <c r="K104" s="95" t="e">
        <f t="shared" si="17"/>
        <v>#N/A</v>
      </c>
      <c r="L104" s="98"/>
      <c r="N104" s="227" t="str">
        <f t="shared" si="11"/>
        <v/>
      </c>
      <c r="O104" s="228" t="e">
        <f t="shared" si="12"/>
        <v>#N/A</v>
      </c>
    </row>
    <row r="105" spans="1:15" x14ac:dyDescent="0.2">
      <c r="A105" s="252">
        <v>100</v>
      </c>
      <c r="B105" s="226">
        <f>'1 Pattern 10min  Chart Reading'!B106</f>
        <v>0</v>
      </c>
      <c r="C105" s="95" t="e">
        <f t="shared" si="10"/>
        <v>#N/A</v>
      </c>
      <c r="D105" s="96" t="e">
        <f t="shared" si="13"/>
        <v>#N/A</v>
      </c>
      <c r="E105" s="96" t="e">
        <f t="shared" si="14"/>
        <v>#N/A</v>
      </c>
      <c r="F105" s="96" t="e">
        <f t="shared" si="15"/>
        <v>#N/A</v>
      </c>
      <c r="G105" s="96" t="e">
        <f t="shared" si="16"/>
        <v>#N/A</v>
      </c>
      <c r="H105" s="96" t="e">
        <f t="shared" si="18"/>
        <v>#N/A</v>
      </c>
      <c r="I105" s="96" t="e">
        <f t="shared" si="19"/>
        <v>#N/A</v>
      </c>
      <c r="J105" s="96" t="e">
        <f t="shared" si="20"/>
        <v>#N/A</v>
      </c>
      <c r="K105" s="95" t="e">
        <f t="shared" si="17"/>
        <v>#N/A</v>
      </c>
      <c r="L105" s="98"/>
      <c r="N105" s="227" t="str">
        <f t="shared" si="11"/>
        <v/>
      </c>
      <c r="O105" s="228" t="e">
        <f t="shared" si="12"/>
        <v>#N/A</v>
      </c>
    </row>
    <row r="106" spans="1:15" x14ac:dyDescent="0.2">
      <c r="A106" s="252">
        <v>110</v>
      </c>
      <c r="B106" s="226">
        <f>'1 Pattern 10min  Chart Reading'!B107</f>
        <v>0</v>
      </c>
      <c r="C106" s="95" t="e">
        <f t="shared" si="10"/>
        <v>#N/A</v>
      </c>
      <c r="D106" s="96" t="e">
        <f t="shared" si="13"/>
        <v>#N/A</v>
      </c>
      <c r="E106" s="96" t="e">
        <f t="shared" si="14"/>
        <v>#N/A</v>
      </c>
      <c r="F106" s="96" t="e">
        <f t="shared" si="15"/>
        <v>#N/A</v>
      </c>
      <c r="G106" s="96" t="e">
        <f t="shared" si="16"/>
        <v>#N/A</v>
      </c>
      <c r="H106" s="96" t="e">
        <f t="shared" si="18"/>
        <v>#N/A</v>
      </c>
      <c r="I106" s="96" t="e">
        <f t="shared" si="19"/>
        <v>#N/A</v>
      </c>
      <c r="J106" s="96" t="e">
        <f t="shared" si="20"/>
        <v>#N/A</v>
      </c>
      <c r="K106" s="95" t="e">
        <f t="shared" si="17"/>
        <v>#N/A</v>
      </c>
      <c r="L106" s="98"/>
      <c r="N106" s="227" t="str">
        <f t="shared" si="11"/>
        <v/>
      </c>
      <c r="O106" s="228" t="e">
        <f t="shared" si="12"/>
        <v>#N/A</v>
      </c>
    </row>
    <row r="107" spans="1:15" x14ac:dyDescent="0.2">
      <c r="A107" s="252">
        <v>120</v>
      </c>
      <c r="B107" s="226">
        <f>'1 Pattern 10min  Chart Reading'!B108</f>
        <v>0</v>
      </c>
      <c r="C107" s="95" t="e">
        <f t="shared" si="10"/>
        <v>#N/A</v>
      </c>
      <c r="D107" s="96" t="e">
        <f t="shared" si="13"/>
        <v>#N/A</v>
      </c>
      <c r="E107" s="96" t="e">
        <f t="shared" si="14"/>
        <v>#N/A</v>
      </c>
      <c r="F107" s="96" t="e">
        <f t="shared" si="15"/>
        <v>#N/A</v>
      </c>
      <c r="G107" s="96" t="e">
        <f t="shared" si="16"/>
        <v>#N/A</v>
      </c>
      <c r="H107" s="96" t="e">
        <f t="shared" si="18"/>
        <v>#N/A</v>
      </c>
      <c r="I107" s="96" t="e">
        <f t="shared" si="19"/>
        <v>#N/A</v>
      </c>
      <c r="J107" s="96" t="e">
        <f t="shared" si="20"/>
        <v>#N/A</v>
      </c>
      <c r="K107" s="95" t="e">
        <f t="shared" si="17"/>
        <v>#N/A</v>
      </c>
      <c r="L107" s="98"/>
      <c r="N107" s="227" t="str">
        <f t="shared" si="11"/>
        <v/>
      </c>
      <c r="O107" s="228" t="e">
        <f t="shared" si="12"/>
        <v>#N/A</v>
      </c>
    </row>
    <row r="108" spans="1:15" x14ac:dyDescent="0.2">
      <c r="A108" s="252">
        <v>130</v>
      </c>
      <c r="B108" s="226">
        <f>'1 Pattern 10min  Chart Reading'!B109</f>
        <v>0</v>
      </c>
      <c r="C108" s="95" t="e">
        <f t="shared" si="10"/>
        <v>#N/A</v>
      </c>
      <c r="D108" s="96" t="e">
        <f t="shared" si="13"/>
        <v>#N/A</v>
      </c>
      <c r="E108" s="96" t="e">
        <f t="shared" si="14"/>
        <v>#N/A</v>
      </c>
      <c r="F108" s="96" t="e">
        <f t="shared" si="15"/>
        <v>#N/A</v>
      </c>
      <c r="G108" s="96" t="e">
        <f t="shared" si="16"/>
        <v>#N/A</v>
      </c>
      <c r="H108" s="96" t="e">
        <f t="shared" si="18"/>
        <v>#N/A</v>
      </c>
      <c r="I108" s="96" t="e">
        <f t="shared" si="19"/>
        <v>#N/A</v>
      </c>
      <c r="J108" s="96" t="e">
        <f t="shared" si="20"/>
        <v>#N/A</v>
      </c>
      <c r="K108" s="95" t="e">
        <f t="shared" si="17"/>
        <v>#N/A</v>
      </c>
      <c r="L108" s="98"/>
      <c r="N108" s="227" t="str">
        <f t="shared" si="11"/>
        <v/>
      </c>
      <c r="O108" s="228" t="e">
        <f t="shared" si="12"/>
        <v>#N/A</v>
      </c>
    </row>
    <row r="109" spans="1:15" x14ac:dyDescent="0.2">
      <c r="A109" s="252">
        <v>140</v>
      </c>
      <c r="B109" s="226">
        <f>'1 Pattern 10min  Chart Reading'!B110</f>
        <v>0</v>
      </c>
      <c r="C109" s="95" t="e">
        <f t="shared" si="10"/>
        <v>#N/A</v>
      </c>
      <c r="D109" s="96" t="e">
        <f t="shared" si="13"/>
        <v>#N/A</v>
      </c>
      <c r="E109" s="96" t="e">
        <f t="shared" si="14"/>
        <v>#N/A</v>
      </c>
      <c r="F109" s="96" t="e">
        <f t="shared" si="15"/>
        <v>#N/A</v>
      </c>
      <c r="G109" s="96" t="e">
        <f t="shared" si="16"/>
        <v>#N/A</v>
      </c>
      <c r="H109" s="96" t="e">
        <f t="shared" si="18"/>
        <v>#N/A</v>
      </c>
      <c r="I109" s="96" t="e">
        <f t="shared" si="19"/>
        <v>#N/A</v>
      </c>
      <c r="J109" s="96" t="e">
        <f t="shared" si="20"/>
        <v>#N/A</v>
      </c>
      <c r="K109" s="95" t="e">
        <f t="shared" si="17"/>
        <v>#N/A</v>
      </c>
      <c r="L109" s="98"/>
      <c r="N109" s="227" t="str">
        <f t="shared" si="11"/>
        <v/>
      </c>
      <c r="O109" s="228" t="e">
        <f t="shared" si="12"/>
        <v>#N/A</v>
      </c>
    </row>
    <row r="110" spans="1:15" ht="10.5" customHeight="1" x14ac:dyDescent="0.2">
      <c r="A110" s="252">
        <v>150</v>
      </c>
      <c r="B110" s="226">
        <f>'1 Pattern 10min  Chart Reading'!B111</f>
        <v>0</v>
      </c>
      <c r="C110" s="95" t="e">
        <f t="shared" si="10"/>
        <v>#N/A</v>
      </c>
      <c r="D110" s="96" t="e">
        <f t="shared" si="13"/>
        <v>#N/A</v>
      </c>
      <c r="E110" s="96" t="e">
        <f t="shared" si="14"/>
        <v>#N/A</v>
      </c>
      <c r="F110" s="96" t="e">
        <f t="shared" si="15"/>
        <v>#N/A</v>
      </c>
      <c r="G110" s="96" t="e">
        <f t="shared" si="16"/>
        <v>#N/A</v>
      </c>
      <c r="H110" s="96" t="e">
        <f t="shared" si="18"/>
        <v>#N/A</v>
      </c>
      <c r="I110" s="96" t="e">
        <f t="shared" si="19"/>
        <v>#N/A</v>
      </c>
      <c r="J110" s="96" t="e">
        <f t="shared" si="20"/>
        <v>#N/A</v>
      </c>
      <c r="K110" s="95" t="e">
        <f t="shared" si="17"/>
        <v>#N/A</v>
      </c>
      <c r="L110" s="98"/>
      <c r="N110" s="227" t="str">
        <f t="shared" si="11"/>
        <v/>
      </c>
      <c r="O110" s="228" t="e">
        <f t="shared" si="12"/>
        <v>#N/A</v>
      </c>
    </row>
    <row r="111" spans="1:15" x14ac:dyDescent="0.2">
      <c r="A111" s="252">
        <v>200</v>
      </c>
      <c r="B111" s="226">
        <f>'1 Pattern 10min  Chart Reading'!B112</f>
        <v>0</v>
      </c>
      <c r="C111" s="95" t="e">
        <f t="shared" si="10"/>
        <v>#N/A</v>
      </c>
      <c r="D111" s="96" t="e">
        <f t="shared" si="13"/>
        <v>#N/A</v>
      </c>
      <c r="E111" s="96" t="e">
        <f t="shared" si="14"/>
        <v>#N/A</v>
      </c>
      <c r="F111" s="96" t="e">
        <f t="shared" si="15"/>
        <v>#N/A</v>
      </c>
      <c r="G111" s="96" t="e">
        <f t="shared" si="16"/>
        <v>#N/A</v>
      </c>
      <c r="H111" s="96" t="e">
        <f t="shared" si="18"/>
        <v>#N/A</v>
      </c>
      <c r="I111" s="96" t="e">
        <f t="shared" si="19"/>
        <v>#N/A</v>
      </c>
      <c r="J111" s="96" t="e">
        <f t="shared" si="20"/>
        <v>#N/A</v>
      </c>
      <c r="K111" s="95" t="e">
        <f t="shared" si="17"/>
        <v>#N/A</v>
      </c>
      <c r="L111" s="98"/>
      <c r="N111" s="227" t="str">
        <f t="shared" si="11"/>
        <v/>
      </c>
      <c r="O111" s="228" t="e">
        <f t="shared" si="12"/>
        <v>#N/A</v>
      </c>
    </row>
    <row r="112" spans="1:15" x14ac:dyDescent="0.2">
      <c r="A112" s="252">
        <v>210</v>
      </c>
      <c r="B112" s="226">
        <f>'1 Pattern 10min  Chart Reading'!B113</f>
        <v>0</v>
      </c>
      <c r="C112" s="95" t="e">
        <f t="shared" si="10"/>
        <v>#N/A</v>
      </c>
      <c r="D112" s="96" t="e">
        <f t="shared" si="13"/>
        <v>#N/A</v>
      </c>
      <c r="E112" s="96" t="e">
        <f t="shared" si="14"/>
        <v>#N/A</v>
      </c>
      <c r="F112" s="96" t="e">
        <f t="shared" si="15"/>
        <v>#N/A</v>
      </c>
      <c r="G112" s="96" t="e">
        <f t="shared" si="16"/>
        <v>#N/A</v>
      </c>
      <c r="H112" s="96" t="e">
        <f t="shared" si="18"/>
        <v>#N/A</v>
      </c>
      <c r="I112" s="96" t="e">
        <f t="shared" si="19"/>
        <v>#N/A</v>
      </c>
      <c r="J112" s="96" t="e">
        <f t="shared" si="20"/>
        <v>#N/A</v>
      </c>
      <c r="K112" s="95" t="e">
        <f t="shared" si="17"/>
        <v>#N/A</v>
      </c>
      <c r="L112" s="98"/>
      <c r="N112" s="227" t="str">
        <f t="shared" si="11"/>
        <v/>
      </c>
      <c r="O112" s="228" t="e">
        <f t="shared" si="12"/>
        <v>#N/A</v>
      </c>
    </row>
    <row r="113" spans="1:15" x14ac:dyDescent="0.2">
      <c r="A113" s="252">
        <v>220</v>
      </c>
      <c r="B113" s="226">
        <f>'1 Pattern 10min  Chart Reading'!B114</f>
        <v>0</v>
      </c>
      <c r="C113" s="95" t="e">
        <f t="shared" si="10"/>
        <v>#N/A</v>
      </c>
      <c r="D113" s="96" t="e">
        <f t="shared" si="13"/>
        <v>#N/A</v>
      </c>
      <c r="E113" s="96" t="e">
        <f t="shared" si="14"/>
        <v>#N/A</v>
      </c>
      <c r="F113" s="96" t="e">
        <f t="shared" si="15"/>
        <v>#N/A</v>
      </c>
      <c r="G113" s="96" t="e">
        <f t="shared" si="16"/>
        <v>#N/A</v>
      </c>
      <c r="H113" s="96" t="e">
        <f t="shared" si="18"/>
        <v>#N/A</v>
      </c>
      <c r="I113" s="96" t="e">
        <f t="shared" si="19"/>
        <v>#N/A</v>
      </c>
      <c r="J113" s="96" t="e">
        <f t="shared" si="20"/>
        <v>#N/A</v>
      </c>
      <c r="K113" s="95" t="e">
        <f t="shared" si="17"/>
        <v>#N/A</v>
      </c>
      <c r="L113" s="98"/>
      <c r="N113" s="227" t="str">
        <f t="shared" si="11"/>
        <v/>
      </c>
      <c r="O113" s="228" t="e">
        <f t="shared" si="12"/>
        <v>#N/A</v>
      </c>
    </row>
    <row r="114" spans="1:15" x14ac:dyDescent="0.2">
      <c r="A114" s="252">
        <v>230</v>
      </c>
      <c r="B114" s="226">
        <f>'1 Pattern 10min  Chart Reading'!B115</f>
        <v>0</v>
      </c>
      <c r="C114" s="95" t="e">
        <f t="shared" si="10"/>
        <v>#N/A</v>
      </c>
      <c r="D114" s="96" t="e">
        <f t="shared" si="13"/>
        <v>#N/A</v>
      </c>
      <c r="E114" s="96" t="e">
        <f t="shared" si="14"/>
        <v>#N/A</v>
      </c>
      <c r="F114" s="96" t="e">
        <f t="shared" si="15"/>
        <v>#N/A</v>
      </c>
      <c r="G114" s="96" t="e">
        <f t="shared" si="16"/>
        <v>#N/A</v>
      </c>
      <c r="H114" s="96" t="e">
        <f t="shared" si="18"/>
        <v>#N/A</v>
      </c>
      <c r="I114" s="96" t="e">
        <f t="shared" si="19"/>
        <v>#N/A</v>
      </c>
      <c r="J114" s="96" t="e">
        <f t="shared" si="20"/>
        <v>#N/A</v>
      </c>
      <c r="K114" s="95" t="e">
        <f t="shared" si="17"/>
        <v>#N/A</v>
      </c>
      <c r="L114" s="98"/>
      <c r="N114" s="227" t="str">
        <f t="shared" si="11"/>
        <v/>
      </c>
      <c r="O114" s="228" t="e">
        <f t="shared" si="12"/>
        <v>#N/A</v>
      </c>
    </row>
    <row r="115" spans="1:15" x14ac:dyDescent="0.2">
      <c r="A115" s="252">
        <v>240</v>
      </c>
      <c r="B115" s="226">
        <f>'1 Pattern 10min  Chart Reading'!B116</f>
        <v>0</v>
      </c>
      <c r="C115" s="95" t="e">
        <f t="shared" si="10"/>
        <v>#N/A</v>
      </c>
      <c r="D115" s="96" t="e">
        <f t="shared" si="13"/>
        <v>#N/A</v>
      </c>
      <c r="E115" s="96" t="e">
        <f t="shared" si="14"/>
        <v>#N/A</v>
      </c>
      <c r="F115" s="96" t="e">
        <f t="shared" si="15"/>
        <v>#N/A</v>
      </c>
      <c r="G115" s="96" t="e">
        <f t="shared" si="16"/>
        <v>#N/A</v>
      </c>
      <c r="H115" s="96" t="e">
        <f t="shared" si="18"/>
        <v>#N/A</v>
      </c>
      <c r="I115" s="96" t="e">
        <f t="shared" si="19"/>
        <v>#N/A</v>
      </c>
      <c r="J115" s="96" t="e">
        <f t="shared" si="20"/>
        <v>#N/A</v>
      </c>
      <c r="K115" s="95" t="e">
        <f t="shared" si="17"/>
        <v>#N/A</v>
      </c>
      <c r="L115" s="98"/>
      <c r="N115" s="227" t="str">
        <f t="shared" si="11"/>
        <v/>
      </c>
      <c r="O115" s="228" t="e">
        <f t="shared" si="12"/>
        <v>#N/A</v>
      </c>
    </row>
    <row r="116" spans="1:15" x14ac:dyDescent="0.2">
      <c r="A116" s="252">
        <v>250</v>
      </c>
      <c r="B116" s="226">
        <f>'1 Pattern 10min  Chart Reading'!B117</f>
        <v>0</v>
      </c>
      <c r="C116" s="95" t="e">
        <f t="shared" si="10"/>
        <v>#N/A</v>
      </c>
      <c r="D116" s="96" t="e">
        <f t="shared" si="13"/>
        <v>#N/A</v>
      </c>
      <c r="E116" s="96" t="e">
        <f t="shared" si="14"/>
        <v>#N/A</v>
      </c>
      <c r="F116" s="96" t="e">
        <f t="shared" si="15"/>
        <v>#N/A</v>
      </c>
      <c r="G116" s="96" t="e">
        <f t="shared" si="16"/>
        <v>#N/A</v>
      </c>
      <c r="H116" s="96" t="e">
        <f t="shared" si="18"/>
        <v>#N/A</v>
      </c>
      <c r="I116" s="96" t="e">
        <f t="shared" si="19"/>
        <v>#N/A</v>
      </c>
      <c r="J116" s="96" t="e">
        <f t="shared" si="20"/>
        <v>#N/A</v>
      </c>
      <c r="K116" s="95" t="e">
        <f t="shared" si="17"/>
        <v>#N/A</v>
      </c>
      <c r="L116" s="98"/>
      <c r="N116" s="227" t="str">
        <f t="shared" si="11"/>
        <v/>
      </c>
      <c r="O116" s="228" t="e">
        <f t="shared" si="12"/>
        <v>#N/A</v>
      </c>
    </row>
    <row r="117" spans="1:15" x14ac:dyDescent="0.2">
      <c r="A117" s="252">
        <v>300</v>
      </c>
      <c r="B117" s="226">
        <f>'1 Pattern 10min  Chart Reading'!B118</f>
        <v>0</v>
      </c>
      <c r="C117" s="95" t="e">
        <f t="shared" si="10"/>
        <v>#N/A</v>
      </c>
      <c r="D117" s="96" t="e">
        <f t="shared" si="13"/>
        <v>#N/A</v>
      </c>
      <c r="E117" s="96" t="e">
        <f t="shared" si="14"/>
        <v>#N/A</v>
      </c>
      <c r="F117" s="96" t="e">
        <f t="shared" si="15"/>
        <v>#N/A</v>
      </c>
      <c r="G117" s="96" t="e">
        <f t="shared" si="16"/>
        <v>#N/A</v>
      </c>
      <c r="H117" s="96" t="e">
        <f t="shared" si="18"/>
        <v>#N/A</v>
      </c>
      <c r="I117" s="96" t="e">
        <f t="shared" si="19"/>
        <v>#N/A</v>
      </c>
      <c r="J117" s="96" t="e">
        <f t="shared" si="20"/>
        <v>#N/A</v>
      </c>
      <c r="K117" s="95" t="e">
        <f t="shared" si="17"/>
        <v>#N/A</v>
      </c>
      <c r="L117" s="98"/>
      <c r="N117" s="227" t="str">
        <f t="shared" si="11"/>
        <v/>
      </c>
      <c r="O117" s="228" t="e">
        <f t="shared" si="12"/>
        <v>#N/A</v>
      </c>
    </row>
    <row r="118" spans="1:15" x14ac:dyDescent="0.2">
      <c r="A118" s="252">
        <v>310</v>
      </c>
      <c r="B118" s="226">
        <f>'1 Pattern 10min  Chart Reading'!B119</f>
        <v>0</v>
      </c>
      <c r="C118" s="95" t="e">
        <f t="shared" si="10"/>
        <v>#N/A</v>
      </c>
      <c r="D118" s="96" t="e">
        <f t="shared" si="13"/>
        <v>#N/A</v>
      </c>
      <c r="E118" s="96" t="e">
        <f t="shared" si="14"/>
        <v>#N/A</v>
      </c>
      <c r="F118" s="96" t="e">
        <f t="shared" si="15"/>
        <v>#N/A</v>
      </c>
      <c r="G118" s="96" t="e">
        <f t="shared" si="16"/>
        <v>#N/A</v>
      </c>
      <c r="H118" s="96" t="e">
        <f t="shared" si="18"/>
        <v>#N/A</v>
      </c>
      <c r="I118" s="96" t="e">
        <f t="shared" si="19"/>
        <v>#N/A</v>
      </c>
      <c r="J118" s="96" t="e">
        <f t="shared" si="20"/>
        <v>#N/A</v>
      </c>
      <c r="K118" s="95" t="e">
        <f t="shared" si="17"/>
        <v>#N/A</v>
      </c>
      <c r="L118" s="98"/>
      <c r="N118" s="227" t="str">
        <f t="shared" si="11"/>
        <v/>
      </c>
      <c r="O118" s="228" t="e">
        <f t="shared" si="12"/>
        <v>#N/A</v>
      </c>
    </row>
    <row r="119" spans="1:15" x14ac:dyDescent="0.2">
      <c r="A119" s="252">
        <v>320</v>
      </c>
      <c r="B119" s="226">
        <f>'1 Pattern 10min  Chart Reading'!B120</f>
        <v>0</v>
      </c>
      <c r="C119" s="95" t="e">
        <f t="shared" si="10"/>
        <v>#N/A</v>
      </c>
      <c r="D119" s="96" t="e">
        <f t="shared" si="13"/>
        <v>#N/A</v>
      </c>
      <c r="E119" s="96" t="e">
        <f t="shared" si="14"/>
        <v>#N/A</v>
      </c>
      <c r="F119" s="96" t="e">
        <f t="shared" si="15"/>
        <v>#N/A</v>
      </c>
      <c r="G119" s="96" t="e">
        <f t="shared" si="16"/>
        <v>#N/A</v>
      </c>
      <c r="H119" s="96" t="e">
        <f t="shared" si="18"/>
        <v>#N/A</v>
      </c>
      <c r="I119" s="96" t="e">
        <f t="shared" si="19"/>
        <v>#N/A</v>
      </c>
      <c r="J119" s="96" t="e">
        <f t="shared" si="20"/>
        <v>#N/A</v>
      </c>
      <c r="K119" s="95" t="e">
        <f t="shared" si="17"/>
        <v>#N/A</v>
      </c>
      <c r="L119" s="98"/>
      <c r="N119" s="227" t="str">
        <f t="shared" si="11"/>
        <v/>
      </c>
      <c r="O119" s="228" t="e">
        <f t="shared" si="12"/>
        <v>#N/A</v>
      </c>
    </row>
    <row r="120" spans="1:15" x14ac:dyDescent="0.2">
      <c r="A120" s="252">
        <v>330</v>
      </c>
      <c r="B120" s="226">
        <f>'1 Pattern 10min  Chart Reading'!B121</f>
        <v>0</v>
      </c>
      <c r="C120" s="95" t="e">
        <f t="shared" si="10"/>
        <v>#N/A</v>
      </c>
      <c r="D120" s="96" t="e">
        <f t="shared" si="13"/>
        <v>#N/A</v>
      </c>
      <c r="E120" s="96" t="e">
        <f t="shared" si="14"/>
        <v>#N/A</v>
      </c>
      <c r="F120" s="96" t="e">
        <f t="shared" si="15"/>
        <v>#N/A</v>
      </c>
      <c r="G120" s="96" t="e">
        <f t="shared" si="16"/>
        <v>#N/A</v>
      </c>
      <c r="H120" s="96" t="e">
        <f t="shared" si="18"/>
        <v>#N/A</v>
      </c>
      <c r="I120" s="96" t="e">
        <f t="shared" si="19"/>
        <v>#N/A</v>
      </c>
      <c r="J120" s="96" t="e">
        <f t="shared" si="20"/>
        <v>#N/A</v>
      </c>
      <c r="K120" s="95" t="e">
        <f t="shared" si="17"/>
        <v>#N/A</v>
      </c>
      <c r="L120" s="98"/>
      <c r="N120" s="227" t="str">
        <f t="shared" si="11"/>
        <v/>
      </c>
      <c r="O120" s="228" t="e">
        <f t="shared" si="12"/>
        <v>#N/A</v>
      </c>
    </row>
    <row r="121" spans="1:15" x14ac:dyDescent="0.2">
      <c r="A121" s="252">
        <v>340</v>
      </c>
      <c r="B121" s="226">
        <f>'1 Pattern 10min  Chart Reading'!B122</f>
        <v>0</v>
      </c>
      <c r="C121" s="95" t="e">
        <f t="shared" si="10"/>
        <v>#N/A</v>
      </c>
      <c r="D121" s="96" t="e">
        <f t="shared" si="13"/>
        <v>#N/A</v>
      </c>
      <c r="E121" s="96" t="e">
        <f t="shared" si="14"/>
        <v>#N/A</v>
      </c>
      <c r="F121" s="96" t="e">
        <f t="shared" si="15"/>
        <v>#N/A</v>
      </c>
      <c r="G121" s="96" t="e">
        <f t="shared" si="16"/>
        <v>#N/A</v>
      </c>
      <c r="H121" s="96" t="e">
        <f t="shared" si="18"/>
        <v>#N/A</v>
      </c>
      <c r="I121" s="96" t="e">
        <f t="shared" si="19"/>
        <v>#N/A</v>
      </c>
      <c r="J121" s="96" t="e">
        <f t="shared" si="20"/>
        <v>#N/A</v>
      </c>
      <c r="K121" s="95" t="e">
        <f t="shared" si="17"/>
        <v>#N/A</v>
      </c>
      <c r="L121" s="98"/>
      <c r="N121" s="227" t="str">
        <f t="shared" si="11"/>
        <v/>
      </c>
      <c r="O121" s="228" t="e">
        <f t="shared" si="12"/>
        <v>#N/A</v>
      </c>
    </row>
    <row r="122" spans="1:15" x14ac:dyDescent="0.2">
      <c r="A122" s="252">
        <v>350</v>
      </c>
      <c r="B122" s="226">
        <f>'1 Pattern 10min  Chart Reading'!B123</f>
        <v>0</v>
      </c>
      <c r="C122" s="95" t="e">
        <f t="shared" si="10"/>
        <v>#N/A</v>
      </c>
      <c r="D122" s="96" t="e">
        <f t="shared" si="13"/>
        <v>#N/A</v>
      </c>
      <c r="E122" s="96" t="e">
        <f t="shared" si="14"/>
        <v>#N/A</v>
      </c>
      <c r="F122" s="96" t="e">
        <f t="shared" si="15"/>
        <v>#N/A</v>
      </c>
      <c r="G122" s="96" t="e">
        <f t="shared" si="16"/>
        <v>#N/A</v>
      </c>
      <c r="H122" s="96" t="e">
        <f t="shared" si="18"/>
        <v>#N/A</v>
      </c>
      <c r="I122" s="96" t="e">
        <f t="shared" si="19"/>
        <v>#N/A</v>
      </c>
      <c r="J122" s="96" t="e">
        <f t="shared" si="20"/>
        <v>#N/A</v>
      </c>
      <c r="K122" s="95" t="e">
        <f t="shared" si="17"/>
        <v>#N/A</v>
      </c>
      <c r="L122" s="98"/>
      <c r="N122" s="227" t="str">
        <f t="shared" si="11"/>
        <v/>
      </c>
      <c r="O122" s="228" t="e">
        <f t="shared" si="12"/>
        <v>#N/A</v>
      </c>
    </row>
    <row r="123" spans="1:15" x14ac:dyDescent="0.2">
      <c r="A123" s="252">
        <v>400</v>
      </c>
      <c r="B123" s="226">
        <f>'1 Pattern 10min  Chart Reading'!B124</f>
        <v>0</v>
      </c>
      <c r="C123" s="95" t="e">
        <f t="shared" si="10"/>
        <v>#N/A</v>
      </c>
      <c r="D123" s="96" t="e">
        <f t="shared" si="13"/>
        <v>#N/A</v>
      </c>
      <c r="E123" s="96" t="e">
        <f t="shared" si="14"/>
        <v>#N/A</v>
      </c>
      <c r="F123" s="96" t="e">
        <f t="shared" si="15"/>
        <v>#N/A</v>
      </c>
      <c r="G123" s="96" t="e">
        <f t="shared" si="16"/>
        <v>#N/A</v>
      </c>
      <c r="H123" s="96" t="e">
        <f t="shared" si="18"/>
        <v>#N/A</v>
      </c>
      <c r="I123" s="96" t="e">
        <f t="shared" si="19"/>
        <v>#N/A</v>
      </c>
      <c r="J123" s="96" t="e">
        <f t="shared" si="20"/>
        <v>#N/A</v>
      </c>
      <c r="K123" s="95" t="e">
        <f t="shared" si="17"/>
        <v>#N/A</v>
      </c>
      <c r="L123" s="98"/>
      <c r="N123" s="227" t="str">
        <f t="shared" si="11"/>
        <v/>
      </c>
      <c r="O123" s="228" t="e">
        <f t="shared" si="12"/>
        <v>#N/A</v>
      </c>
    </row>
    <row r="124" spans="1:15" x14ac:dyDescent="0.2">
      <c r="A124" s="252">
        <v>410</v>
      </c>
      <c r="B124" s="226">
        <f>'1 Pattern 10min  Chart Reading'!B125</f>
        <v>0</v>
      </c>
      <c r="C124" s="95" t="e">
        <f t="shared" si="10"/>
        <v>#N/A</v>
      </c>
      <c r="D124" s="96" t="e">
        <f t="shared" si="13"/>
        <v>#N/A</v>
      </c>
      <c r="E124" s="96" t="e">
        <f t="shared" si="14"/>
        <v>#N/A</v>
      </c>
      <c r="F124" s="96" t="e">
        <f t="shared" si="15"/>
        <v>#N/A</v>
      </c>
      <c r="G124" s="96" t="e">
        <f t="shared" si="16"/>
        <v>#N/A</v>
      </c>
      <c r="H124" s="96" t="e">
        <f t="shared" si="18"/>
        <v>#N/A</v>
      </c>
      <c r="I124" s="96" t="e">
        <f t="shared" si="19"/>
        <v>#N/A</v>
      </c>
      <c r="J124" s="96" t="e">
        <f t="shared" si="20"/>
        <v>#N/A</v>
      </c>
      <c r="K124" s="95" t="e">
        <f t="shared" si="17"/>
        <v>#N/A</v>
      </c>
      <c r="L124" s="98"/>
      <c r="N124" s="227" t="str">
        <f t="shared" si="11"/>
        <v/>
      </c>
      <c r="O124" s="228" t="e">
        <f t="shared" si="12"/>
        <v>#N/A</v>
      </c>
    </row>
    <row r="125" spans="1:15" x14ac:dyDescent="0.2">
      <c r="A125" s="252">
        <v>420</v>
      </c>
      <c r="B125" s="226">
        <f>'1 Pattern 10min  Chart Reading'!B126</f>
        <v>0</v>
      </c>
      <c r="C125" s="95" t="e">
        <f t="shared" si="10"/>
        <v>#N/A</v>
      </c>
      <c r="D125" s="96" t="e">
        <f t="shared" si="13"/>
        <v>#N/A</v>
      </c>
      <c r="E125" s="96" t="e">
        <f t="shared" si="14"/>
        <v>#N/A</v>
      </c>
      <c r="F125" s="96" t="e">
        <f t="shared" si="15"/>
        <v>#N/A</v>
      </c>
      <c r="G125" s="96" t="e">
        <f t="shared" si="16"/>
        <v>#N/A</v>
      </c>
      <c r="H125" s="96" t="e">
        <f t="shared" si="18"/>
        <v>#N/A</v>
      </c>
      <c r="I125" s="96" t="e">
        <f t="shared" si="19"/>
        <v>#N/A</v>
      </c>
      <c r="J125" s="96" t="e">
        <f t="shared" si="20"/>
        <v>#N/A</v>
      </c>
      <c r="K125" s="95" t="e">
        <f t="shared" si="17"/>
        <v>#N/A</v>
      </c>
      <c r="L125" s="98"/>
      <c r="N125" s="227" t="str">
        <f t="shared" si="11"/>
        <v/>
      </c>
      <c r="O125" s="228" t="e">
        <f t="shared" si="12"/>
        <v>#N/A</v>
      </c>
    </row>
    <row r="126" spans="1:15" x14ac:dyDescent="0.2">
      <c r="A126" s="252">
        <v>430</v>
      </c>
      <c r="B126" s="226">
        <f>'1 Pattern 10min  Chart Reading'!B127</f>
        <v>0</v>
      </c>
      <c r="C126" s="95" t="e">
        <f t="shared" si="10"/>
        <v>#N/A</v>
      </c>
      <c r="D126" s="96" t="e">
        <f t="shared" si="13"/>
        <v>#N/A</v>
      </c>
      <c r="E126" s="96" t="e">
        <f t="shared" si="14"/>
        <v>#N/A</v>
      </c>
      <c r="F126" s="96" t="e">
        <f t="shared" si="15"/>
        <v>#N/A</v>
      </c>
      <c r="G126" s="96" t="e">
        <f t="shared" si="16"/>
        <v>#N/A</v>
      </c>
      <c r="H126" s="96" t="e">
        <f t="shared" si="18"/>
        <v>#N/A</v>
      </c>
      <c r="I126" s="96" t="e">
        <f t="shared" si="19"/>
        <v>#N/A</v>
      </c>
      <c r="J126" s="96" t="e">
        <f t="shared" si="20"/>
        <v>#N/A</v>
      </c>
      <c r="K126" s="95" t="e">
        <f t="shared" si="17"/>
        <v>#N/A</v>
      </c>
      <c r="L126" s="98"/>
      <c r="N126" s="227" t="str">
        <f t="shared" si="11"/>
        <v/>
      </c>
      <c r="O126" s="228" t="e">
        <f t="shared" si="12"/>
        <v>#N/A</v>
      </c>
    </row>
    <row r="127" spans="1:15" x14ac:dyDescent="0.2">
      <c r="A127" s="252">
        <v>440</v>
      </c>
      <c r="B127" s="226">
        <f>'1 Pattern 10min  Chart Reading'!B128</f>
        <v>0</v>
      </c>
      <c r="C127" s="95" t="e">
        <f t="shared" si="10"/>
        <v>#N/A</v>
      </c>
      <c r="D127" s="96" t="e">
        <f t="shared" si="13"/>
        <v>#N/A</v>
      </c>
      <c r="E127" s="96" t="e">
        <f t="shared" si="14"/>
        <v>#N/A</v>
      </c>
      <c r="F127" s="96" t="e">
        <f t="shared" si="15"/>
        <v>#N/A</v>
      </c>
      <c r="G127" s="96" t="e">
        <f t="shared" si="16"/>
        <v>#N/A</v>
      </c>
      <c r="H127" s="96" t="e">
        <f t="shared" si="18"/>
        <v>#N/A</v>
      </c>
      <c r="I127" s="96" t="e">
        <f t="shared" si="19"/>
        <v>#N/A</v>
      </c>
      <c r="J127" s="96" t="e">
        <f t="shared" si="20"/>
        <v>#N/A</v>
      </c>
      <c r="K127" s="95" t="e">
        <f t="shared" si="17"/>
        <v>#N/A</v>
      </c>
      <c r="L127" s="98"/>
      <c r="N127" s="227" t="str">
        <f t="shared" si="11"/>
        <v/>
      </c>
      <c r="O127" s="228" t="e">
        <f t="shared" si="12"/>
        <v>#N/A</v>
      </c>
    </row>
    <row r="128" spans="1:15" x14ac:dyDescent="0.2">
      <c r="A128" s="252">
        <v>450</v>
      </c>
      <c r="B128" s="226">
        <f>'1 Pattern 10min  Chart Reading'!B129</f>
        <v>0</v>
      </c>
      <c r="C128" s="95" t="e">
        <f t="shared" si="10"/>
        <v>#N/A</v>
      </c>
      <c r="D128" s="96" t="e">
        <f t="shared" si="13"/>
        <v>#N/A</v>
      </c>
      <c r="E128" s="96" t="e">
        <f t="shared" si="14"/>
        <v>#N/A</v>
      </c>
      <c r="F128" s="96" t="e">
        <f t="shared" si="15"/>
        <v>#N/A</v>
      </c>
      <c r="G128" s="96" t="e">
        <f t="shared" si="16"/>
        <v>#N/A</v>
      </c>
      <c r="H128" s="96" t="e">
        <f t="shared" si="18"/>
        <v>#N/A</v>
      </c>
      <c r="I128" s="96" t="e">
        <f t="shared" si="19"/>
        <v>#N/A</v>
      </c>
      <c r="J128" s="96" t="e">
        <f t="shared" si="20"/>
        <v>#N/A</v>
      </c>
      <c r="K128" s="95" t="e">
        <f t="shared" si="17"/>
        <v>#N/A</v>
      </c>
      <c r="L128" s="98"/>
      <c r="N128" s="227" t="str">
        <f t="shared" si="11"/>
        <v/>
      </c>
      <c r="O128" s="228" t="e">
        <f t="shared" si="12"/>
        <v>#N/A</v>
      </c>
    </row>
    <row r="129" spans="1:15" x14ac:dyDescent="0.2">
      <c r="A129" s="252">
        <v>500</v>
      </c>
      <c r="B129" s="226">
        <f>'1 Pattern 10min  Chart Reading'!B130</f>
        <v>0</v>
      </c>
      <c r="C129" s="95" t="e">
        <f t="shared" si="10"/>
        <v>#N/A</v>
      </c>
      <c r="D129" s="96" t="e">
        <f t="shared" si="13"/>
        <v>#N/A</v>
      </c>
      <c r="E129" s="96" t="e">
        <f t="shared" si="14"/>
        <v>#N/A</v>
      </c>
      <c r="F129" s="96" t="e">
        <f t="shared" si="15"/>
        <v>#N/A</v>
      </c>
      <c r="G129" s="96" t="e">
        <f t="shared" si="16"/>
        <v>#N/A</v>
      </c>
      <c r="H129" s="96" t="e">
        <f t="shared" si="18"/>
        <v>#N/A</v>
      </c>
      <c r="I129" s="96" t="e">
        <f t="shared" si="19"/>
        <v>#N/A</v>
      </c>
      <c r="J129" s="96" t="e">
        <f t="shared" si="20"/>
        <v>#N/A</v>
      </c>
      <c r="K129" s="95" t="e">
        <f t="shared" si="17"/>
        <v>#N/A</v>
      </c>
      <c r="L129" s="98"/>
      <c r="N129" s="227" t="str">
        <f t="shared" si="11"/>
        <v/>
      </c>
      <c r="O129" s="228" t="e">
        <f t="shared" si="12"/>
        <v>#N/A</v>
      </c>
    </row>
    <row r="130" spans="1:15" x14ac:dyDescent="0.2">
      <c r="A130" s="252">
        <v>510</v>
      </c>
      <c r="B130" s="226">
        <f>'1 Pattern 10min  Chart Reading'!B131</f>
        <v>0</v>
      </c>
      <c r="C130" s="95" t="e">
        <f t="shared" si="10"/>
        <v>#N/A</v>
      </c>
      <c r="D130" s="96" t="e">
        <f t="shared" si="13"/>
        <v>#N/A</v>
      </c>
      <c r="E130" s="96" t="e">
        <f t="shared" si="14"/>
        <v>#N/A</v>
      </c>
      <c r="F130" s="96" t="e">
        <f t="shared" si="15"/>
        <v>#N/A</v>
      </c>
      <c r="G130" s="96" t="e">
        <f t="shared" si="16"/>
        <v>#N/A</v>
      </c>
      <c r="H130" s="96" t="e">
        <f t="shared" si="18"/>
        <v>#N/A</v>
      </c>
      <c r="I130" s="96" t="e">
        <f t="shared" si="19"/>
        <v>#N/A</v>
      </c>
      <c r="J130" s="96" t="e">
        <f t="shared" si="20"/>
        <v>#N/A</v>
      </c>
      <c r="K130" s="95" t="e">
        <f t="shared" si="17"/>
        <v>#N/A</v>
      </c>
      <c r="L130" s="98"/>
      <c r="N130" s="227" t="str">
        <f t="shared" si="11"/>
        <v/>
      </c>
      <c r="O130" s="228" t="e">
        <f t="shared" si="12"/>
        <v>#N/A</v>
      </c>
    </row>
    <row r="131" spans="1:15" x14ac:dyDescent="0.2">
      <c r="A131" s="252">
        <v>520</v>
      </c>
      <c r="B131" s="226">
        <f>'1 Pattern 10min  Chart Reading'!B132</f>
        <v>0</v>
      </c>
      <c r="C131" s="95" t="e">
        <f t="shared" ref="C131:C146" si="21">$B$1*B131</f>
        <v>#N/A</v>
      </c>
      <c r="D131" s="96" t="e">
        <f t="shared" si="13"/>
        <v>#N/A</v>
      </c>
      <c r="E131" s="96" t="e">
        <f t="shared" si="14"/>
        <v>#N/A</v>
      </c>
      <c r="F131" s="96" t="e">
        <f t="shared" si="15"/>
        <v>#N/A</v>
      </c>
      <c r="G131" s="96" t="e">
        <f t="shared" si="16"/>
        <v>#N/A</v>
      </c>
      <c r="H131" s="96" t="e">
        <f t="shared" si="18"/>
        <v>#N/A</v>
      </c>
      <c r="I131" s="96" t="e">
        <f t="shared" si="19"/>
        <v>#N/A</v>
      </c>
      <c r="J131" s="96" t="e">
        <f t="shared" si="20"/>
        <v>#N/A</v>
      </c>
      <c r="K131" s="95" t="e">
        <f t="shared" si="17"/>
        <v>#N/A</v>
      </c>
      <c r="L131" s="98"/>
      <c r="N131" s="227" t="str">
        <f t="shared" si="11"/>
        <v/>
      </c>
      <c r="O131" s="228" t="e">
        <f t="shared" si="12"/>
        <v>#N/A</v>
      </c>
    </row>
    <row r="132" spans="1:15" x14ac:dyDescent="0.2">
      <c r="A132" s="252">
        <v>530</v>
      </c>
      <c r="B132" s="226">
        <f>'1 Pattern 10min  Chart Reading'!B133</f>
        <v>0</v>
      </c>
      <c r="C132" s="95" t="e">
        <f t="shared" si="21"/>
        <v>#N/A</v>
      </c>
      <c r="D132" s="96" t="e">
        <f t="shared" si="13"/>
        <v>#N/A</v>
      </c>
      <c r="E132" s="96" t="e">
        <f t="shared" si="14"/>
        <v>#N/A</v>
      </c>
      <c r="F132" s="96" t="e">
        <f t="shared" si="15"/>
        <v>#N/A</v>
      </c>
      <c r="G132" s="96" t="e">
        <f t="shared" si="16"/>
        <v>#N/A</v>
      </c>
      <c r="H132" s="96" t="e">
        <f t="shared" si="18"/>
        <v>#N/A</v>
      </c>
      <c r="I132" s="96" t="e">
        <f t="shared" si="19"/>
        <v>#N/A</v>
      </c>
      <c r="J132" s="96" t="e">
        <f t="shared" si="20"/>
        <v>#N/A</v>
      </c>
      <c r="K132" s="95" t="e">
        <f t="shared" si="17"/>
        <v>#N/A</v>
      </c>
      <c r="L132" s="98"/>
      <c r="N132" s="227" t="str">
        <f t="shared" ref="N132:N147" si="22">IF(B132="","fill","")</f>
        <v/>
      </c>
      <c r="O132" s="228" t="e">
        <f t="shared" ref="O132:O147" si="23">IF(D132&lt;0,"neg","")</f>
        <v>#N/A</v>
      </c>
    </row>
    <row r="133" spans="1:15" x14ac:dyDescent="0.2">
      <c r="A133" s="252">
        <v>540</v>
      </c>
      <c r="B133" s="226">
        <f>'1 Pattern 10min  Chart Reading'!B134</f>
        <v>0</v>
      </c>
      <c r="C133" s="95" t="e">
        <f t="shared" si="21"/>
        <v>#N/A</v>
      </c>
      <c r="D133" s="96" t="e">
        <f t="shared" ref="D133:D145" si="24">C133-C132</f>
        <v>#N/A</v>
      </c>
      <c r="E133" s="96" t="e">
        <f t="shared" si="14"/>
        <v>#N/A</v>
      </c>
      <c r="F133" s="96" t="e">
        <f t="shared" si="15"/>
        <v>#N/A</v>
      </c>
      <c r="G133" s="96" t="e">
        <f t="shared" si="16"/>
        <v>#N/A</v>
      </c>
      <c r="H133" s="96" t="e">
        <f t="shared" si="18"/>
        <v>#N/A</v>
      </c>
      <c r="I133" s="96" t="e">
        <f t="shared" si="19"/>
        <v>#N/A</v>
      </c>
      <c r="J133" s="96" t="e">
        <f t="shared" si="20"/>
        <v>#N/A</v>
      </c>
      <c r="K133" s="95" t="e">
        <f t="shared" si="17"/>
        <v>#N/A</v>
      </c>
      <c r="L133" s="98"/>
      <c r="N133" s="227" t="str">
        <f t="shared" si="22"/>
        <v/>
      </c>
      <c r="O133" s="228" t="e">
        <f t="shared" si="23"/>
        <v>#N/A</v>
      </c>
    </row>
    <row r="134" spans="1:15" x14ac:dyDescent="0.2">
      <c r="A134" s="252">
        <v>550</v>
      </c>
      <c r="B134" s="226">
        <f>'1 Pattern 10min  Chart Reading'!B135</f>
        <v>0</v>
      </c>
      <c r="C134" s="95" t="e">
        <f t="shared" si="21"/>
        <v>#N/A</v>
      </c>
      <c r="D134" s="96" t="e">
        <f t="shared" si="24"/>
        <v>#N/A</v>
      </c>
      <c r="E134" s="96" t="e">
        <f t="shared" si="14"/>
        <v>#N/A</v>
      </c>
      <c r="F134" s="96" t="e">
        <f t="shared" si="15"/>
        <v>#N/A</v>
      </c>
      <c r="G134" s="96" t="e">
        <f t="shared" si="16"/>
        <v>#N/A</v>
      </c>
      <c r="H134" s="96" t="e">
        <f t="shared" si="18"/>
        <v>#N/A</v>
      </c>
      <c r="I134" s="96" t="e">
        <f t="shared" si="19"/>
        <v>#N/A</v>
      </c>
      <c r="J134" s="96" t="e">
        <f t="shared" si="20"/>
        <v>#N/A</v>
      </c>
      <c r="K134" s="95" t="e">
        <f t="shared" si="17"/>
        <v>#N/A</v>
      </c>
      <c r="L134" s="98"/>
      <c r="N134" s="227" t="str">
        <f t="shared" si="22"/>
        <v/>
      </c>
      <c r="O134" s="228" t="e">
        <f t="shared" si="23"/>
        <v>#N/A</v>
      </c>
    </row>
    <row r="135" spans="1:15" x14ac:dyDescent="0.2">
      <c r="A135" s="252">
        <v>600</v>
      </c>
      <c r="B135" s="226">
        <f>'1 Pattern 10min  Chart Reading'!B136</f>
        <v>0</v>
      </c>
      <c r="C135" s="95" t="e">
        <f t="shared" si="21"/>
        <v>#N/A</v>
      </c>
      <c r="D135" s="96" t="e">
        <f t="shared" si="24"/>
        <v>#N/A</v>
      </c>
      <c r="E135" s="96" t="e">
        <f t="shared" ref="E135:E147" si="25">C135-C133</f>
        <v>#N/A</v>
      </c>
      <c r="F135" s="96" t="e">
        <f t="shared" ref="F135:F147" si="26">C135-C132</f>
        <v>#N/A</v>
      </c>
      <c r="G135" s="96" t="e">
        <f t="shared" si="16"/>
        <v>#N/A</v>
      </c>
      <c r="H135" s="96" t="e">
        <f t="shared" si="18"/>
        <v>#N/A</v>
      </c>
      <c r="I135" s="96" t="e">
        <f t="shared" si="19"/>
        <v>#N/A</v>
      </c>
      <c r="J135" s="96" t="e">
        <f t="shared" si="20"/>
        <v>#N/A</v>
      </c>
      <c r="K135" s="95" t="e">
        <f t="shared" si="17"/>
        <v>#N/A</v>
      </c>
      <c r="L135" s="98"/>
      <c r="N135" s="227" t="str">
        <f t="shared" si="22"/>
        <v/>
      </c>
      <c r="O135" s="228" t="e">
        <f t="shared" si="23"/>
        <v>#N/A</v>
      </c>
    </row>
    <row r="136" spans="1:15" x14ac:dyDescent="0.2">
      <c r="A136" s="252">
        <v>610</v>
      </c>
      <c r="B136" s="226">
        <f>'1 Pattern 10min  Chart Reading'!B137</f>
        <v>0</v>
      </c>
      <c r="C136" s="95" t="e">
        <f t="shared" si="21"/>
        <v>#N/A</v>
      </c>
      <c r="D136" s="96" t="e">
        <f t="shared" si="24"/>
        <v>#N/A</v>
      </c>
      <c r="E136" s="96" t="e">
        <f t="shared" si="25"/>
        <v>#N/A</v>
      </c>
      <c r="F136" s="96" t="e">
        <f t="shared" si="26"/>
        <v>#N/A</v>
      </c>
      <c r="G136" s="96" t="e">
        <f t="shared" si="16"/>
        <v>#N/A</v>
      </c>
      <c r="H136" s="96" t="e">
        <f t="shared" si="18"/>
        <v>#N/A</v>
      </c>
      <c r="I136" s="96" t="e">
        <f t="shared" si="19"/>
        <v>#N/A</v>
      </c>
      <c r="J136" s="96" t="e">
        <f t="shared" si="20"/>
        <v>#N/A</v>
      </c>
      <c r="K136" s="95" t="e">
        <f t="shared" si="17"/>
        <v>#N/A</v>
      </c>
      <c r="L136" s="98"/>
      <c r="N136" s="227" t="str">
        <f t="shared" si="22"/>
        <v/>
      </c>
      <c r="O136" s="228" t="e">
        <f t="shared" si="23"/>
        <v>#N/A</v>
      </c>
    </row>
    <row r="137" spans="1:15" x14ac:dyDescent="0.2">
      <c r="A137" s="252">
        <v>620</v>
      </c>
      <c r="B137" s="226">
        <f>'1 Pattern 10min  Chart Reading'!B138</f>
        <v>0</v>
      </c>
      <c r="C137" s="95" t="e">
        <f t="shared" si="21"/>
        <v>#N/A</v>
      </c>
      <c r="D137" s="96" t="e">
        <f t="shared" si="24"/>
        <v>#N/A</v>
      </c>
      <c r="E137" s="96" t="e">
        <f t="shared" si="25"/>
        <v>#N/A</v>
      </c>
      <c r="F137" s="96" t="e">
        <f t="shared" si="26"/>
        <v>#N/A</v>
      </c>
      <c r="G137" s="96" t="e">
        <f t="shared" si="16"/>
        <v>#N/A</v>
      </c>
      <c r="H137" s="96" t="e">
        <f t="shared" si="18"/>
        <v>#N/A</v>
      </c>
      <c r="I137" s="96" t="e">
        <f t="shared" si="19"/>
        <v>#N/A</v>
      </c>
      <c r="J137" s="96" t="e">
        <f t="shared" si="20"/>
        <v>#N/A</v>
      </c>
      <c r="K137" s="95" t="e">
        <f t="shared" si="17"/>
        <v>#N/A</v>
      </c>
      <c r="L137" s="98"/>
      <c r="N137" s="227" t="str">
        <f t="shared" si="22"/>
        <v/>
      </c>
      <c r="O137" s="228" t="e">
        <f t="shared" si="23"/>
        <v>#N/A</v>
      </c>
    </row>
    <row r="138" spans="1:15" x14ac:dyDescent="0.2">
      <c r="A138" s="252">
        <v>630</v>
      </c>
      <c r="B138" s="226">
        <f>'1 Pattern 10min  Chart Reading'!B139</f>
        <v>0</v>
      </c>
      <c r="C138" s="95" t="e">
        <f t="shared" si="21"/>
        <v>#N/A</v>
      </c>
      <c r="D138" s="96" t="e">
        <f t="shared" si="24"/>
        <v>#N/A</v>
      </c>
      <c r="E138" s="96" t="e">
        <f t="shared" si="25"/>
        <v>#N/A</v>
      </c>
      <c r="F138" s="96" t="e">
        <f t="shared" si="26"/>
        <v>#N/A</v>
      </c>
      <c r="G138" s="96" t="e">
        <f t="shared" ref="G138:G147" si="27">C138-C132</f>
        <v>#N/A</v>
      </c>
      <c r="H138" s="96" t="e">
        <f t="shared" si="18"/>
        <v>#N/A</v>
      </c>
      <c r="I138" s="96" t="e">
        <f t="shared" si="19"/>
        <v>#N/A</v>
      </c>
      <c r="J138" s="96" t="e">
        <f t="shared" si="20"/>
        <v>#N/A</v>
      </c>
      <c r="K138" s="95" t="e">
        <f t="shared" si="17"/>
        <v>#N/A</v>
      </c>
      <c r="L138" s="98"/>
      <c r="N138" s="227" t="str">
        <f t="shared" si="22"/>
        <v/>
      </c>
      <c r="O138" s="228" t="e">
        <f t="shared" si="23"/>
        <v>#N/A</v>
      </c>
    </row>
    <row r="139" spans="1:15" x14ac:dyDescent="0.2">
      <c r="A139" s="252">
        <v>640</v>
      </c>
      <c r="B139" s="226">
        <f>'1 Pattern 10min  Chart Reading'!B140</f>
        <v>0</v>
      </c>
      <c r="C139" s="95" t="e">
        <f t="shared" si="21"/>
        <v>#N/A</v>
      </c>
      <c r="D139" s="96" t="e">
        <f t="shared" si="24"/>
        <v>#N/A</v>
      </c>
      <c r="E139" s="96" t="e">
        <f t="shared" si="25"/>
        <v>#N/A</v>
      </c>
      <c r="F139" s="96" t="e">
        <f t="shared" si="26"/>
        <v>#N/A</v>
      </c>
      <c r="G139" s="96" t="e">
        <f t="shared" si="27"/>
        <v>#N/A</v>
      </c>
      <c r="H139" s="96" t="e">
        <f t="shared" si="18"/>
        <v>#N/A</v>
      </c>
      <c r="I139" s="96" t="e">
        <f t="shared" si="19"/>
        <v>#N/A</v>
      </c>
      <c r="J139" s="96" t="e">
        <f t="shared" si="20"/>
        <v>#N/A</v>
      </c>
      <c r="K139" s="95" t="e">
        <f t="shared" si="17"/>
        <v>#N/A</v>
      </c>
      <c r="L139" s="98"/>
      <c r="N139" s="227" t="str">
        <f t="shared" si="22"/>
        <v/>
      </c>
      <c r="O139" s="228" t="e">
        <f t="shared" si="23"/>
        <v>#N/A</v>
      </c>
    </row>
    <row r="140" spans="1:15" x14ac:dyDescent="0.2">
      <c r="A140" s="252">
        <v>650</v>
      </c>
      <c r="B140" s="226">
        <f>'1 Pattern 10min  Chart Reading'!B141</f>
        <v>0</v>
      </c>
      <c r="C140" s="95" t="e">
        <f t="shared" si="21"/>
        <v>#N/A</v>
      </c>
      <c r="D140" s="96" t="e">
        <f t="shared" si="24"/>
        <v>#N/A</v>
      </c>
      <c r="E140" s="96" t="e">
        <f t="shared" si="25"/>
        <v>#N/A</v>
      </c>
      <c r="F140" s="96" t="e">
        <f t="shared" si="26"/>
        <v>#N/A</v>
      </c>
      <c r="G140" s="96" t="e">
        <f t="shared" si="27"/>
        <v>#N/A</v>
      </c>
      <c r="H140" s="96" t="e">
        <f t="shared" si="18"/>
        <v>#N/A</v>
      </c>
      <c r="I140" s="96" t="e">
        <f t="shared" si="19"/>
        <v>#N/A</v>
      </c>
      <c r="J140" s="96" t="e">
        <f t="shared" si="20"/>
        <v>#N/A</v>
      </c>
      <c r="K140" s="95" t="e">
        <f t="shared" ref="K140:K146" si="28">C140-C68</f>
        <v>#N/A</v>
      </c>
      <c r="L140" s="98"/>
      <c r="N140" s="227" t="str">
        <f t="shared" si="22"/>
        <v/>
      </c>
      <c r="O140" s="228" t="e">
        <f t="shared" si="23"/>
        <v>#N/A</v>
      </c>
    </row>
    <row r="141" spans="1:15" x14ac:dyDescent="0.2">
      <c r="A141" s="252">
        <v>700</v>
      </c>
      <c r="B141" s="226">
        <f>'1 Pattern 10min  Chart Reading'!B142</f>
        <v>0</v>
      </c>
      <c r="C141" s="95" t="e">
        <f t="shared" si="21"/>
        <v>#N/A</v>
      </c>
      <c r="D141" s="96" t="e">
        <f t="shared" si="24"/>
        <v>#N/A</v>
      </c>
      <c r="E141" s="96" t="e">
        <f t="shared" si="25"/>
        <v>#N/A</v>
      </c>
      <c r="F141" s="96" t="e">
        <f t="shared" si="26"/>
        <v>#N/A</v>
      </c>
      <c r="G141" s="96" t="e">
        <f t="shared" si="27"/>
        <v>#N/A</v>
      </c>
      <c r="H141" s="96" t="e">
        <f t="shared" si="18"/>
        <v>#N/A</v>
      </c>
      <c r="I141" s="96" t="e">
        <f t="shared" si="19"/>
        <v>#N/A</v>
      </c>
      <c r="J141" s="96" t="e">
        <f t="shared" si="20"/>
        <v>#N/A</v>
      </c>
      <c r="K141" s="95" t="e">
        <f t="shared" si="28"/>
        <v>#N/A</v>
      </c>
      <c r="L141" s="98"/>
      <c r="N141" s="227" t="str">
        <f t="shared" si="22"/>
        <v/>
      </c>
      <c r="O141" s="228" t="e">
        <f t="shared" si="23"/>
        <v>#N/A</v>
      </c>
    </row>
    <row r="142" spans="1:15" x14ac:dyDescent="0.2">
      <c r="A142" s="252">
        <v>710</v>
      </c>
      <c r="B142" s="226">
        <f>'1 Pattern 10min  Chart Reading'!B143</f>
        <v>0</v>
      </c>
      <c r="C142" s="95" t="e">
        <f t="shared" si="21"/>
        <v>#N/A</v>
      </c>
      <c r="D142" s="96" t="e">
        <f t="shared" si="24"/>
        <v>#N/A</v>
      </c>
      <c r="E142" s="96" t="e">
        <f t="shared" si="25"/>
        <v>#N/A</v>
      </c>
      <c r="F142" s="96" t="e">
        <f t="shared" si="26"/>
        <v>#N/A</v>
      </c>
      <c r="G142" s="96" t="e">
        <f t="shared" si="27"/>
        <v>#N/A</v>
      </c>
      <c r="H142" s="96" t="e">
        <f t="shared" si="18"/>
        <v>#N/A</v>
      </c>
      <c r="I142" s="96" t="e">
        <f t="shared" si="19"/>
        <v>#N/A</v>
      </c>
      <c r="J142" s="96" t="e">
        <f t="shared" si="20"/>
        <v>#N/A</v>
      </c>
      <c r="K142" s="95" t="e">
        <f t="shared" si="28"/>
        <v>#N/A</v>
      </c>
      <c r="L142" s="98"/>
      <c r="N142" s="227" t="str">
        <f t="shared" si="22"/>
        <v/>
      </c>
      <c r="O142" s="228" t="e">
        <f t="shared" si="23"/>
        <v>#N/A</v>
      </c>
    </row>
    <row r="143" spans="1:15" x14ac:dyDescent="0.2">
      <c r="A143" s="252">
        <v>720</v>
      </c>
      <c r="B143" s="226">
        <f>'1 Pattern 10min  Chart Reading'!B144</f>
        <v>0</v>
      </c>
      <c r="C143" s="95" t="e">
        <f t="shared" si="21"/>
        <v>#N/A</v>
      </c>
      <c r="D143" s="96" t="e">
        <f t="shared" si="24"/>
        <v>#N/A</v>
      </c>
      <c r="E143" s="96" t="e">
        <f t="shared" si="25"/>
        <v>#N/A</v>
      </c>
      <c r="F143" s="96" t="e">
        <f t="shared" si="26"/>
        <v>#N/A</v>
      </c>
      <c r="G143" s="96" t="e">
        <f t="shared" si="27"/>
        <v>#N/A</v>
      </c>
      <c r="H143" s="96" t="e">
        <f>C143-C131</f>
        <v>#N/A</v>
      </c>
      <c r="I143" s="96" t="e">
        <f t="shared" si="19"/>
        <v>#N/A</v>
      </c>
      <c r="J143" s="96" t="e">
        <f t="shared" si="20"/>
        <v>#N/A</v>
      </c>
      <c r="K143" s="95" t="e">
        <f t="shared" si="28"/>
        <v>#N/A</v>
      </c>
      <c r="L143" s="98"/>
      <c r="N143" s="227" t="str">
        <f t="shared" si="22"/>
        <v/>
      </c>
      <c r="O143" s="228" t="e">
        <f t="shared" si="23"/>
        <v>#N/A</v>
      </c>
    </row>
    <row r="144" spans="1:15" x14ac:dyDescent="0.2">
      <c r="A144" s="252">
        <v>730</v>
      </c>
      <c r="B144" s="226">
        <f>'1 Pattern 10min  Chart Reading'!B145</f>
        <v>0</v>
      </c>
      <c r="C144" s="95" t="e">
        <f t="shared" si="21"/>
        <v>#N/A</v>
      </c>
      <c r="D144" s="96" t="e">
        <f t="shared" si="24"/>
        <v>#N/A</v>
      </c>
      <c r="E144" s="96" t="e">
        <f t="shared" si="25"/>
        <v>#N/A</v>
      </c>
      <c r="F144" s="96" t="e">
        <f t="shared" si="26"/>
        <v>#N/A</v>
      </c>
      <c r="G144" s="96" t="e">
        <f t="shared" si="27"/>
        <v>#N/A</v>
      </c>
      <c r="H144" s="96" t="e">
        <f>C144-C132</f>
        <v>#N/A</v>
      </c>
      <c r="I144" s="96" t="e">
        <f t="shared" si="19"/>
        <v>#N/A</v>
      </c>
      <c r="J144" s="96" t="e">
        <f t="shared" si="20"/>
        <v>#N/A</v>
      </c>
      <c r="K144" s="95" t="e">
        <f t="shared" si="28"/>
        <v>#N/A</v>
      </c>
      <c r="L144" s="98"/>
      <c r="N144" s="227" t="str">
        <f t="shared" si="22"/>
        <v/>
      </c>
      <c r="O144" s="228" t="e">
        <f t="shared" si="23"/>
        <v>#N/A</v>
      </c>
    </row>
    <row r="145" spans="1:25" x14ac:dyDescent="0.2">
      <c r="A145" s="252">
        <v>740</v>
      </c>
      <c r="B145" s="226">
        <f>'1 Pattern 10min  Chart Reading'!B146</f>
        <v>0</v>
      </c>
      <c r="C145" s="95" t="e">
        <f t="shared" si="21"/>
        <v>#N/A</v>
      </c>
      <c r="D145" s="96" t="e">
        <f t="shared" si="24"/>
        <v>#N/A</v>
      </c>
      <c r="E145" s="96" t="e">
        <f t="shared" si="25"/>
        <v>#N/A</v>
      </c>
      <c r="F145" s="96" t="e">
        <f t="shared" si="26"/>
        <v>#N/A</v>
      </c>
      <c r="G145" s="96" t="e">
        <f t="shared" si="27"/>
        <v>#N/A</v>
      </c>
      <c r="H145" s="96" t="e">
        <f>C145-C133</f>
        <v>#N/A</v>
      </c>
      <c r="I145" s="96" t="e">
        <f t="shared" si="19"/>
        <v>#N/A</v>
      </c>
      <c r="J145" s="96" t="e">
        <f t="shared" si="20"/>
        <v>#N/A</v>
      </c>
      <c r="K145" s="95" t="e">
        <f t="shared" si="28"/>
        <v>#N/A</v>
      </c>
      <c r="L145" s="98"/>
      <c r="N145" s="227" t="str">
        <f t="shared" si="22"/>
        <v/>
      </c>
      <c r="O145" s="228" t="e">
        <f t="shared" si="23"/>
        <v>#N/A</v>
      </c>
    </row>
    <row r="146" spans="1:25" x14ac:dyDescent="0.2">
      <c r="A146" s="252">
        <v>750</v>
      </c>
      <c r="B146" s="226">
        <f>'1 Pattern 10min  Chart Reading'!B147</f>
        <v>0</v>
      </c>
      <c r="C146" s="95" t="e">
        <f t="shared" si="21"/>
        <v>#N/A</v>
      </c>
      <c r="D146" s="96" t="e">
        <f>C146-C145</f>
        <v>#N/A</v>
      </c>
      <c r="E146" s="96" t="e">
        <f t="shared" si="25"/>
        <v>#N/A</v>
      </c>
      <c r="F146" s="96" t="e">
        <f t="shared" si="26"/>
        <v>#N/A</v>
      </c>
      <c r="G146" s="96" t="e">
        <f t="shared" si="27"/>
        <v>#N/A</v>
      </c>
      <c r="H146" s="96" t="e">
        <f>C146-C134</f>
        <v>#N/A</v>
      </c>
      <c r="I146" s="96" t="e">
        <f t="shared" si="19"/>
        <v>#N/A</v>
      </c>
      <c r="J146" s="96" t="e">
        <f t="shared" si="20"/>
        <v>#N/A</v>
      </c>
      <c r="K146" s="95" t="e">
        <f t="shared" si="28"/>
        <v>#N/A</v>
      </c>
      <c r="L146" s="98"/>
      <c r="N146" s="227" t="str">
        <f t="shared" si="22"/>
        <v/>
      </c>
      <c r="O146" s="228" t="e">
        <f t="shared" si="23"/>
        <v>#N/A</v>
      </c>
      <c r="Q146" s="281" t="s">
        <v>222</v>
      </c>
      <c r="R146" s="281"/>
      <c r="S146" s="281"/>
      <c r="T146" s="281"/>
      <c r="V146" s="281" t="s">
        <v>227</v>
      </c>
      <c r="W146" s="281"/>
      <c r="X146" s="281"/>
      <c r="Y146" s="281"/>
    </row>
    <row r="147" spans="1:25" x14ac:dyDescent="0.2">
      <c r="A147" s="252">
        <v>800</v>
      </c>
      <c r="B147" s="257">
        <f>'1 Pattern 10min  Chart Reading'!B148</f>
        <v>0</v>
      </c>
      <c r="C147" s="95" t="e">
        <f>$B$1*B147</f>
        <v>#N/A</v>
      </c>
      <c r="D147" s="96" t="e">
        <f>C147-C146</f>
        <v>#N/A</v>
      </c>
      <c r="E147" s="96" t="e">
        <f t="shared" si="25"/>
        <v>#N/A</v>
      </c>
      <c r="F147" s="96" t="e">
        <f t="shared" si="26"/>
        <v>#N/A</v>
      </c>
      <c r="G147" s="96" t="e">
        <f t="shared" si="27"/>
        <v>#N/A</v>
      </c>
      <c r="H147" s="96" t="e">
        <f>C147-C135</f>
        <v>#N/A</v>
      </c>
      <c r="I147" s="96" t="e">
        <f t="shared" si="19"/>
        <v>#N/A</v>
      </c>
      <c r="J147" s="96" t="e">
        <f t="shared" si="20"/>
        <v>#N/A</v>
      </c>
      <c r="K147" s="95" t="e">
        <f>C147-C75</f>
        <v>#N/A</v>
      </c>
      <c r="L147" s="95" t="e">
        <f>C147-C3</f>
        <v>#N/A</v>
      </c>
      <c r="N147" s="227" t="str">
        <f t="shared" si="22"/>
        <v/>
      </c>
      <c r="O147" s="228" t="e">
        <f t="shared" si="23"/>
        <v>#N/A</v>
      </c>
      <c r="Q147" s="255" t="s">
        <v>223</v>
      </c>
      <c r="R147" s="255" t="s">
        <v>224</v>
      </c>
      <c r="S147" s="255" t="s">
        <v>225</v>
      </c>
      <c r="T147" s="255" t="s">
        <v>226</v>
      </c>
      <c r="V147" s="255" t="s">
        <v>228</v>
      </c>
      <c r="W147" s="255" t="s">
        <v>229</v>
      </c>
      <c r="X147" s="255" t="s">
        <v>230</v>
      </c>
      <c r="Y147" s="255" t="s">
        <v>231</v>
      </c>
    </row>
    <row r="148" spans="1:25" s="225" customFormat="1" ht="15" x14ac:dyDescent="0.25">
      <c r="A148" s="253"/>
      <c r="B148" s="226"/>
      <c r="C148" s="220" t="s">
        <v>211</v>
      </c>
      <c r="D148" s="224" t="e">
        <f t="shared" ref="D148:J148" si="29">MAX(D3:D147)</f>
        <v>#N/A</v>
      </c>
      <c r="E148" s="224" t="e">
        <f t="shared" si="29"/>
        <v>#N/A</v>
      </c>
      <c r="F148" s="224" t="e">
        <f t="shared" si="29"/>
        <v>#N/A</v>
      </c>
      <c r="G148" s="224" t="e">
        <f t="shared" si="29"/>
        <v>#N/A</v>
      </c>
      <c r="H148" s="224" t="e">
        <f t="shared" si="29"/>
        <v>#N/A</v>
      </c>
      <c r="I148" s="224" t="e">
        <f t="shared" si="29"/>
        <v>#N/A</v>
      </c>
      <c r="J148" s="224" t="e">
        <f t="shared" si="29"/>
        <v>#N/A</v>
      </c>
      <c r="K148" s="224" t="e">
        <f>MAX(K3:K147)</f>
        <v>#N/A</v>
      </c>
      <c r="L148" s="224" t="e">
        <f>MAX(L3:L147)</f>
        <v>#N/A</v>
      </c>
      <c r="N148" s="223"/>
      <c r="O148" s="223"/>
      <c r="Q148" s="256" t="str" cm="1">
        <f t="array" ref="Q148">IFERROR(INDEX('1 Pattern 10min  Chart Reading'!$AI:$AI, MATCH('1 Pattern 10min  Chart Reading'!$D$2, '1 Pattern 10min  Chart Reading'!$AH$3:$AH$33, 0) + 2), "")</f>
        <v/>
      </c>
      <c r="R148" s="256" t="str" cm="1">
        <f t="array" ref="R148">IFERROR(INDEX('1 Pattern 10min  Chart Reading'!$AJ:$AJ, MATCH('1 Pattern 10min  Chart Reading'!$D$2, '1 Pattern 10min  Chart Reading'!$AH$3:$AH$33, 0) + 2), "")</f>
        <v/>
      </c>
      <c r="S148" s="256" t="str" cm="1">
        <f t="array" ref="S148">IFERROR(INDEX('1 Pattern 10min  Chart Reading'!$AK:$AK, MATCH('1 Pattern 10min  Chart Reading'!$D$2, '1 Pattern 10min  Chart Reading'!$AH$3:$AH$33, 0) + 2), "")</f>
        <v/>
      </c>
      <c r="T148" s="256" t="str" cm="1">
        <f t="array" ref="T148">IFERROR(INDEX('1 Pattern 10min  Chart Reading'!$AL:$AL, MATCH('1 Pattern 10min  Chart Reading'!$D$2, '1 Pattern 10min  Chart Reading'!$AH$3:$AH$33, 0) + 2), "")</f>
        <v/>
      </c>
      <c r="U148" s="251"/>
      <c r="V148" s="256" t="str">
        <f>Q148</f>
        <v/>
      </c>
      <c r="W148" s="256" t="e">
        <f>Q148+R148</f>
        <v>#VALUE!</v>
      </c>
      <c r="X148" s="256" t="e">
        <f>W148+S148</f>
        <v>#VALUE!</v>
      </c>
      <c r="Y148" s="258" t="e">
        <f>X148+T148</f>
        <v>#VALUE!</v>
      </c>
    </row>
  </sheetData>
  <mergeCells count="2">
    <mergeCell ref="Q146:T146"/>
    <mergeCell ref="V146:Y146"/>
  </mergeCells>
  <phoneticPr fontId="32" type="noConversion"/>
  <pageMargins left="0.75" right="0.75" top="1" bottom="1" header="0.5" footer="0.5"/>
  <pageSetup orientation="portrait" horizontalDpi="30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59999389629810485"/>
  </sheetPr>
  <dimension ref="A1:AF48"/>
  <sheetViews>
    <sheetView topLeftCell="F10" zoomScale="70" zoomScaleNormal="70" workbookViewId="0">
      <selection activeCell="Q7" sqref="Q7"/>
    </sheetView>
  </sheetViews>
  <sheetFormatPr defaultRowHeight="15" x14ac:dyDescent="0.25"/>
  <cols>
    <col min="1" max="1" width="6.85546875" customWidth="1"/>
    <col min="2" max="2" width="7.140625" customWidth="1"/>
    <col min="3" max="3" width="6.7109375" customWidth="1"/>
    <col min="4" max="4" width="2.5703125" customWidth="1"/>
    <col min="5" max="5" width="6.85546875" customWidth="1"/>
    <col min="6" max="6" width="7" customWidth="1"/>
    <col min="7" max="7" width="6.5703125" customWidth="1"/>
    <col min="8" max="8" width="8" customWidth="1"/>
    <col min="9" max="16" width="8.85546875" customWidth="1"/>
    <col min="17" max="17" width="9.5703125" customWidth="1"/>
    <col min="20" max="20" width="11.7109375" bestFit="1" customWidth="1"/>
  </cols>
  <sheetData>
    <row r="1" spans="1:18" ht="5.25" customHeight="1" thickBot="1" x14ac:dyDescent="0.3">
      <c r="Q1" s="245"/>
    </row>
    <row r="2" spans="1:18" ht="3.75" customHeight="1" x14ac:dyDescent="0.25">
      <c r="A2" s="2"/>
      <c r="B2" s="3"/>
      <c r="C2" s="78"/>
      <c r="D2" s="86"/>
      <c r="E2" s="2"/>
      <c r="F2" s="3"/>
      <c r="G2" s="3"/>
      <c r="H2" s="3"/>
      <c r="I2" s="3"/>
      <c r="J2" s="3"/>
      <c r="K2" s="3"/>
      <c r="L2" s="3"/>
      <c r="M2" s="2"/>
      <c r="N2" s="3"/>
      <c r="O2" s="3"/>
      <c r="P2" s="3"/>
      <c r="Q2" s="244"/>
    </row>
    <row r="3" spans="1:18" ht="12" customHeight="1" x14ac:dyDescent="0.25">
      <c r="A3" s="79" t="s">
        <v>0</v>
      </c>
      <c r="B3" s="1"/>
      <c r="C3" s="80"/>
      <c r="D3" s="87"/>
      <c r="E3" s="79" t="s">
        <v>5</v>
      </c>
      <c r="F3" s="1"/>
      <c r="G3" s="1"/>
      <c r="H3" s="1"/>
      <c r="I3" s="1"/>
      <c r="J3" s="1"/>
      <c r="K3" s="1"/>
      <c r="L3" s="1"/>
      <c r="M3" s="81" t="s">
        <v>34</v>
      </c>
      <c r="N3" s="8"/>
      <c r="O3" s="8"/>
      <c r="P3" s="8"/>
      <c r="Q3" s="243" t="s">
        <v>35</v>
      </c>
    </row>
    <row r="4" spans="1:18" ht="12" customHeight="1" x14ac:dyDescent="0.25">
      <c r="A4" s="79"/>
      <c r="B4" s="1"/>
      <c r="C4" s="80"/>
      <c r="D4" s="87"/>
      <c r="E4" s="79" t="s">
        <v>6</v>
      </c>
      <c r="F4" s="1"/>
      <c r="G4" s="1"/>
      <c r="H4" s="1"/>
      <c r="I4" s="1"/>
      <c r="J4" s="1"/>
      <c r="K4" s="1"/>
      <c r="L4" s="1"/>
      <c r="M4" s="79"/>
      <c r="N4" s="273" t="s">
        <v>374</v>
      </c>
      <c r="O4" s="90"/>
      <c r="P4" s="90"/>
      <c r="Q4" s="262" t="str">
        <f>IFERROR(VLOOKUP(N4, 'Station Database'!A:B, 2, FALSE), "")</f>
        <v/>
      </c>
    </row>
    <row r="5" spans="1:18" ht="12" customHeight="1" x14ac:dyDescent="0.25">
      <c r="A5" s="79" t="s">
        <v>1</v>
      </c>
      <c r="B5" s="1"/>
      <c r="C5" s="80"/>
      <c r="D5" s="87"/>
      <c r="E5" s="79" t="s">
        <v>7</v>
      </c>
      <c r="F5" s="1"/>
      <c r="G5" s="1"/>
      <c r="H5" s="1"/>
      <c r="I5" s="1"/>
      <c r="J5" s="1"/>
      <c r="K5" s="1"/>
      <c r="L5" s="1"/>
      <c r="M5" s="79"/>
      <c r="N5" s="1"/>
      <c r="O5" s="1"/>
      <c r="P5" s="1"/>
      <c r="Q5" s="80"/>
    </row>
    <row r="6" spans="1:18" ht="12" customHeight="1" x14ac:dyDescent="0.25">
      <c r="A6" s="79" t="s">
        <v>2</v>
      </c>
      <c r="B6" s="1"/>
      <c r="C6" s="80"/>
      <c r="D6" s="87"/>
      <c r="E6" s="79" t="s">
        <v>379</v>
      </c>
      <c r="F6" s="1"/>
      <c r="G6" s="1"/>
      <c r="H6" s="1"/>
      <c r="I6" s="1"/>
      <c r="J6" s="1"/>
      <c r="K6" s="1"/>
      <c r="L6" s="1"/>
      <c r="M6" s="79"/>
      <c r="N6" s="1"/>
      <c r="O6" s="1"/>
      <c r="P6" s="1"/>
      <c r="Q6" s="80"/>
    </row>
    <row r="7" spans="1:18" ht="12" customHeight="1" x14ac:dyDescent="0.25">
      <c r="A7" s="79" t="s">
        <v>3</v>
      </c>
      <c r="B7" s="1"/>
      <c r="C7" s="80"/>
      <c r="D7" s="87"/>
      <c r="E7" s="79"/>
      <c r="F7" s="1"/>
      <c r="G7" s="1"/>
      <c r="H7" s="1"/>
      <c r="I7" s="1"/>
      <c r="J7" s="1"/>
      <c r="K7" s="1"/>
      <c r="L7" s="1"/>
      <c r="M7" s="81" t="s">
        <v>36</v>
      </c>
      <c r="N7" s="261" t="str">
        <f>'1 Pattern 10min  Chart Reading'!C2</f>
        <v>MMM</v>
      </c>
      <c r="O7" s="89"/>
      <c r="P7" s="89" t="s">
        <v>372</v>
      </c>
      <c r="Q7" s="274" t="s">
        <v>381</v>
      </c>
    </row>
    <row r="8" spans="1:18" ht="3.75" customHeight="1" thickBot="1" x14ac:dyDescent="0.3">
      <c r="A8" s="4"/>
      <c r="B8" s="5"/>
      <c r="C8" s="6"/>
      <c r="D8" s="87"/>
      <c r="E8" s="4"/>
      <c r="F8" s="5"/>
      <c r="G8" s="5"/>
      <c r="H8" s="5"/>
      <c r="I8" s="5"/>
      <c r="J8" s="5"/>
      <c r="K8" s="5"/>
      <c r="L8" s="5"/>
      <c r="M8" s="4"/>
      <c r="N8" s="5"/>
      <c r="O8" s="5"/>
      <c r="P8" s="5"/>
      <c r="Q8" s="6"/>
    </row>
    <row r="9" spans="1:18" ht="9" customHeight="1" x14ac:dyDescent="0.25">
      <c r="A9" s="283" t="s">
        <v>25</v>
      </c>
      <c r="B9" s="286" t="s">
        <v>24</v>
      </c>
      <c r="C9" s="289" t="s">
        <v>4</v>
      </c>
      <c r="D9" s="87"/>
      <c r="E9" s="292" t="s">
        <v>9</v>
      </c>
      <c r="F9" s="299" t="s">
        <v>23</v>
      </c>
      <c r="G9" s="299"/>
      <c r="H9" s="292" t="s">
        <v>12</v>
      </c>
      <c r="I9" s="298"/>
      <c r="J9" s="299"/>
      <c r="K9" s="299"/>
      <c r="L9" s="299"/>
      <c r="M9" s="299"/>
      <c r="N9" s="299"/>
      <c r="O9" s="299"/>
      <c r="P9" s="299"/>
      <c r="Q9" s="300"/>
    </row>
    <row r="10" spans="1:18" ht="12" customHeight="1" x14ac:dyDescent="0.25">
      <c r="A10" s="284"/>
      <c r="B10" s="287"/>
      <c r="C10" s="290"/>
      <c r="D10" s="87"/>
      <c r="E10" s="293"/>
      <c r="F10" s="302"/>
      <c r="G10" s="302"/>
      <c r="H10" s="293"/>
      <c r="I10" s="301"/>
      <c r="J10" s="302"/>
      <c r="K10" s="302"/>
      <c r="L10" s="302"/>
      <c r="M10" s="302"/>
      <c r="N10" s="302"/>
      <c r="O10" s="302"/>
      <c r="P10" s="302"/>
      <c r="Q10" s="303"/>
    </row>
    <row r="11" spans="1:18" ht="32.25" customHeight="1" thickBot="1" x14ac:dyDescent="0.3">
      <c r="A11" s="285"/>
      <c r="B11" s="288"/>
      <c r="C11" s="291"/>
      <c r="D11" s="87"/>
      <c r="E11" s="294"/>
      <c r="F11" s="85" t="s">
        <v>10</v>
      </c>
      <c r="G11" s="84" t="s">
        <v>11</v>
      </c>
      <c r="H11" s="294"/>
      <c r="I11" s="82" t="s">
        <v>13</v>
      </c>
      <c r="J11" s="82" t="s">
        <v>14</v>
      </c>
      <c r="K11" s="82" t="s">
        <v>15</v>
      </c>
      <c r="L11" s="82" t="s">
        <v>16</v>
      </c>
      <c r="M11" s="83" t="s">
        <v>17</v>
      </c>
      <c r="N11" s="82" t="s">
        <v>18</v>
      </c>
      <c r="O11" s="82" t="s">
        <v>19</v>
      </c>
      <c r="P11" s="84" t="s">
        <v>21</v>
      </c>
      <c r="Q11" s="88" t="s">
        <v>20</v>
      </c>
    </row>
    <row r="12" spans="1:18" ht="13.7" customHeight="1" thickBot="1" x14ac:dyDescent="0.3">
      <c r="A12" s="124">
        <f>IF('4 Hourly RR Chart Reading'!G12="","",'4 Hourly RR Chart Reading'!G12)</f>
        <v>0</v>
      </c>
      <c r="B12" s="129" t="str">
        <f>IF(AND('4 Hourly RR Chart Reading'!H12="",'4 Hourly RR Chart Reading'!AE12=""),"",SUM('4 Hourly RR Chart Reading'!H12:AE12))</f>
        <v/>
      </c>
      <c r="C12" s="180" t="str">
        <f>IF(A12="","",IFERROR(A12/B12,""))</f>
        <v/>
      </c>
      <c r="D12" s="186"/>
      <c r="E12" s="181">
        <v>1</v>
      </c>
      <c r="F12" s="187"/>
      <c r="G12" s="188"/>
      <c r="H12" s="241">
        <f>A12</f>
        <v>0</v>
      </c>
      <c r="I12" s="263" t="str">
        <f>IF('1 Pattern 10min  Chart Reading'!$D$2=$E12, '2 Data RR corrMAX'!D$148, "")</f>
        <v/>
      </c>
      <c r="J12" s="263" t="str">
        <f>IF('1 Pattern 10min  Chart Reading'!$D$2=$E12, '2 Data RR corrMAX'!E$148, "")</f>
        <v/>
      </c>
      <c r="K12" s="263" t="str">
        <f>IF('1 Pattern 10min  Chart Reading'!$D$2=$E12, '2 Data RR corrMAX'!F$148, "")</f>
        <v/>
      </c>
      <c r="L12" s="263" t="str">
        <f>IF('1 Pattern 10min  Chart Reading'!$D$2=$E12, '2 Data RR corrMAX'!G$148, "")</f>
        <v/>
      </c>
      <c r="M12" s="263" t="str">
        <f>IF('1 Pattern 10min  Chart Reading'!$D$2=$E12, '2 Data RR corrMAX'!H$148, "")</f>
        <v/>
      </c>
      <c r="N12" s="263" t="str">
        <f>IF('1 Pattern 10min  Chart Reading'!$D$2=$E12, '2 Data RR corrMAX'!I$148, "")</f>
        <v/>
      </c>
      <c r="O12" s="263" t="str">
        <f>IF('1 Pattern 10min  Chart Reading'!$D$2=$E12, '2 Data RR corrMAX'!J$148, "")</f>
        <v/>
      </c>
      <c r="P12" s="263" t="str">
        <f>IF('1 Pattern 10min  Chart Reading'!$D$2=$E12, '2 Data RR corrMAX'!K$148, "")</f>
        <v/>
      </c>
      <c r="Q12" s="263" t="str">
        <f>IF('1 Pattern 10min  Chart Reading'!$D$2=$E12, '2 Data RR corrMAX'!L$148, "")</f>
        <v/>
      </c>
      <c r="R12" s="1"/>
    </row>
    <row r="13" spans="1:18" ht="13.7" customHeight="1" thickBot="1" x14ac:dyDescent="0.3">
      <c r="A13" s="127">
        <f>IF('4 Hourly RR Chart Reading'!G13="","",'4 Hourly RR Chart Reading'!G13)</f>
        <v>0</v>
      </c>
      <c r="B13" s="129" t="str">
        <f>IF(AND('4 Hourly RR Chart Reading'!H13="",'4 Hourly RR Chart Reading'!AE13=""),"",SUM('4 Hourly RR Chart Reading'!H13:AE13))</f>
        <v/>
      </c>
      <c r="C13" s="182" t="str">
        <f t="shared" ref="C13:C42" si="0">IF(A13="","",IFERROR(A13/B13,""))</f>
        <v/>
      </c>
      <c r="D13" s="186"/>
      <c r="E13" s="183">
        <v>2</v>
      </c>
      <c r="F13" s="189"/>
      <c r="G13" s="190"/>
      <c r="H13" s="240">
        <f t="shared" ref="H13:H42" si="1">A13</f>
        <v>0</v>
      </c>
      <c r="I13" s="263" t="str">
        <f>IF('1 Pattern 10min  Chart Reading'!$D$2=$E13, '2 Data RR corrMAX'!D$148, "")</f>
        <v/>
      </c>
      <c r="J13" s="263" t="str">
        <f>IF('1 Pattern 10min  Chart Reading'!$D$2=$E13, '2 Data RR corrMAX'!E$148, "")</f>
        <v/>
      </c>
      <c r="K13" s="263" t="str">
        <f>IF('1 Pattern 10min  Chart Reading'!$D$2=$E13, '2 Data RR corrMAX'!F$148, "")</f>
        <v/>
      </c>
      <c r="L13" s="263" t="str">
        <f>IF('1 Pattern 10min  Chart Reading'!$D$2=$E13, '2 Data RR corrMAX'!G$148, "")</f>
        <v/>
      </c>
      <c r="M13" s="263" t="str">
        <f>IF('1 Pattern 10min  Chart Reading'!$D$2=$E13, '2 Data RR corrMAX'!H$148, "")</f>
        <v/>
      </c>
      <c r="N13" s="263" t="str">
        <f>IF('1 Pattern 10min  Chart Reading'!$D$2=$E13, '2 Data RR corrMAX'!I$148, "")</f>
        <v/>
      </c>
      <c r="O13" s="263" t="str">
        <f>IF('1 Pattern 10min  Chart Reading'!$D$2=$E13, '2 Data RR corrMAX'!J$148, "")</f>
        <v/>
      </c>
      <c r="P13" s="263" t="str">
        <f>IF('1 Pattern 10min  Chart Reading'!$D$2=$E13, '2 Data RR corrMAX'!K$148, "")</f>
        <v/>
      </c>
      <c r="Q13" s="263" t="str">
        <f>IF('1 Pattern 10min  Chart Reading'!$D$2=$E13, '2 Data RR corrMAX'!L$148, "")</f>
        <v/>
      </c>
      <c r="R13" s="11"/>
    </row>
    <row r="14" spans="1:18" ht="13.7" customHeight="1" thickBot="1" x14ac:dyDescent="0.3">
      <c r="A14" s="127">
        <f>IF('4 Hourly RR Chart Reading'!G14="","",'4 Hourly RR Chart Reading'!G14)</f>
        <v>0</v>
      </c>
      <c r="B14" s="129" t="str">
        <f>IF(AND('4 Hourly RR Chart Reading'!H14="",'4 Hourly RR Chart Reading'!AE14=""),"",SUM('4 Hourly RR Chart Reading'!H14:AE14))</f>
        <v/>
      </c>
      <c r="C14" s="182" t="str">
        <f t="shared" si="0"/>
        <v/>
      </c>
      <c r="D14" s="186"/>
      <c r="E14" s="183">
        <v>3</v>
      </c>
      <c r="F14" s="189"/>
      <c r="G14" s="190"/>
      <c r="H14" s="240">
        <f t="shared" si="1"/>
        <v>0</v>
      </c>
      <c r="I14" s="263" t="str">
        <f>IF('1 Pattern 10min  Chart Reading'!$D$2=$E14, '2 Data RR corrMAX'!D$148, "")</f>
        <v/>
      </c>
      <c r="J14" s="263" t="str">
        <f>IF('1 Pattern 10min  Chart Reading'!$D$2=$E14, '2 Data RR corrMAX'!E$148, "")</f>
        <v/>
      </c>
      <c r="K14" s="263" t="str">
        <f>IF('1 Pattern 10min  Chart Reading'!$D$2=$E14, '2 Data RR corrMAX'!F$148, "")</f>
        <v/>
      </c>
      <c r="L14" s="263" t="str">
        <f>IF('1 Pattern 10min  Chart Reading'!$D$2=$E14, '2 Data RR corrMAX'!G$148, "")</f>
        <v/>
      </c>
      <c r="M14" s="263" t="str">
        <f>IF('1 Pattern 10min  Chart Reading'!$D$2=$E14, '2 Data RR corrMAX'!H$148, "")</f>
        <v/>
      </c>
      <c r="N14" s="263" t="str">
        <f>IF('1 Pattern 10min  Chart Reading'!$D$2=$E14, '2 Data RR corrMAX'!I$148, "")</f>
        <v/>
      </c>
      <c r="O14" s="263" t="str">
        <f>IF('1 Pattern 10min  Chart Reading'!$D$2=$E14, '2 Data RR corrMAX'!J$148, "")</f>
        <v/>
      </c>
      <c r="P14" s="263" t="str">
        <f>IF('1 Pattern 10min  Chart Reading'!$D$2=$E14, '2 Data RR corrMAX'!K$148, "")</f>
        <v/>
      </c>
      <c r="Q14" s="263" t="str">
        <f>IF('1 Pattern 10min  Chart Reading'!$D$2=$E14, '2 Data RR corrMAX'!L$148, "")</f>
        <v/>
      </c>
      <c r="R14" s="247"/>
    </row>
    <row r="15" spans="1:18" ht="13.7" customHeight="1" thickBot="1" x14ac:dyDescent="0.3">
      <c r="A15" s="127">
        <f>IF('4 Hourly RR Chart Reading'!G15="","",'4 Hourly RR Chart Reading'!G15)</f>
        <v>0</v>
      </c>
      <c r="B15" s="129" t="str">
        <f>IF(AND('4 Hourly RR Chart Reading'!H15="",'4 Hourly RR Chart Reading'!AE15=""),"",SUM('4 Hourly RR Chart Reading'!H15:AE15))</f>
        <v/>
      </c>
      <c r="C15" s="182" t="str">
        <f t="shared" si="0"/>
        <v/>
      </c>
      <c r="D15" s="186"/>
      <c r="E15" s="183">
        <v>4</v>
      </c>
      <c r="F15" s="189"/>
      <c r="G15" s="190"/>
      <c r="H15" s="240">
        <f t="shared" si="1"/>
        <v>0</v>
      </c>
      <c r="I15" s="263" t="str">
        <f>IF('1 Pattern 10min  Chart Reading'!$D$2=$E15, '2 Data RR corrMAX'!D$148, "")</f>
        <v/>
      </c>
      <c r="J15" s="263" t="str">
        <f>IF('1 Pattern 10min  Chart Reading'!$D$2=$E15, '2 Data RR corrMAX'!E$148, "")</f>
        <v/>
      </c>
      <c r="K15" s="263" t="str">
        <f>IF('1 Pattern 10min  Chart Reading'!$D$2=$E15, '2 Data RR corrMAX'!F$148, "")</f>
        <v/>
      </c>
      <c r="L15" s="263" t="str">
        <f>IF('1 Pattern 10min  Chart Reading'!$D$2=$E15, '2 Data RR corrMAX'!G$148, "")</f>
        <v/>
      </c>
      <c r="M15" s="263" t="str">
        <f>IF('1 Pattern 10min  Chart Reading'!$D$2=$E15, '2 Data RR corrMAX'!H$148, "")</f>
        <v/>
      </c>
      <c r="N15" s="263" t="str">
        <f>IF('1 Pattern 10min  Chart Reading'!$D$2=$E15, '2 Data RR corrMAX'!I$148, "")</f>
        <v/>
      </c>
      <c r="O15" s="263" t="str">
        <f>IF('1 Pattern 10min  Chart Reading'!$D$2=$E15, '2 Data RR corrMAX'!J$148, "")</f>
        <v/>
      </c>
      <c r="P15" s="263" t="str">
        <f>IF('1 Pattern 10min  Chart Reading'!$D$2=$E15, '2 Data RR corrMAX'!K$148, "")</f>
        <v/>
      </c>
      <c r="Q15" s="263" t="str">
        <f>IF('1 Pattern 10min  Chart Reading'!$D$2=$E15, '2 Data RR corrMAX'!L$148, "")</f>
        <v/>
      </c>
      <c r="R15" s="247"/>
    </row>
    <row r="16" spans="1:18" ht="13.7" customHeight="1" thickBot="1" x14ac:dyDescent="0.3">
      <c r="A16" s="127">
        <f>IF('4 Hourly RR Chart Reading'!G16="","",'4 Hourly RR Chart Reading'!G16)</f>
        <v>0</v>
      </c>
      <c r="B16" s="129" t="str">
        <f>IF(AND('4 Hourly RR Chart Reading'!H16="",'4 Hourly RR Chart Reading'!AE16=""),"",SUM('4 Hourly RR Chart Reading'!H16:AE16))</f>
        <v/>
      </c>
      <c r="C16" s="182" t="str">
        <f t="shared" si="0"/>
        <v/>
      </c>
      <c r="D16" s="186"/>
      <c r="E16" s="183">
        <v>5</v>
      </c>
      <c r="F16" s="189"/>
      <c r="G16" s="190"/>
      <c r="H16" s="240">
        <f t="shared" si="1"/>
        <v>0</v>
      </c>
      <c r="I16" s="263" t="str">
        <f>IF('1 Pattern 10min  Chart Reading'!$D$2=$E16, '2 Data RR corrMAX'!D$148, "")</f>
        <v/>
      </c>
      <c r="J16" s="263" t="str">
        <f>IF('1 Pattern 10min  Chart Reading'!$D$2=$E16, '2 Data RR corrMAX'!E$148, "")</f>
        <v/>
      </c>
      <c r="K16" s="263" t="str">
        <f>IF('1 Pattern 10min  Chart Reading'!$D$2=$E16, '2 Data RR corrMAX'!F$148, "")</f>
        <v/>
      </c>
      <c r="L16" s="263" t="str">
        <f>IF('1 Pattern 10min  Chart Reading'!$D$2=$E16, '2 Data RR corrMAX'!G$148, "")</f>
        <v/>
      </c>
      <c r="M16" s="263" t="str">
        <f>IF('1 Pattern 10min  Chart Reading'!$D$2=$E16, '2 Data RR corrMAX'!H$148, "")</f>
        <v/>
      </c>
      <c r="N16" s="263" t="str">
        <f>IF('1 Pattern 10min  Chart Reading'!$D$2=$E16, '2 Data RR corrMAX'!I$148, "")</f>
        <v/>
      </c>
      <c r="O16" s="263" t="str">
        <f>IF('1 Pattern 10min  Chart Reading'!$D$2=$E16, '2 Data RR corrMAX'!J$148, "")</f>
        <v/>
      </c>
      <c r="P16" s="263" t="str">
        <f>IF('1 Pattern 10min  Chart Reading'!$D$2=$E16, '2 Data RR corrMAX'!K$148, "")</f>
        <v/>
      </c>
      <c r="Q16" s="263" t="str">
        <f>IF('1 Pattern 10min  Chart Reading'!$D$2=$E16, '2 Data RR corrMAX'!L$148, "")</f>
        <v/>
      </c>
    </row>
    <row r="17" spans="1:17" ht="13.7" customHeight="1" thickBot="1" x14ac:dyDescent="0.3">
      <c r="A17" s="127">
        <f>IF('4 Hourly RR Chart Reading'!G17="","",'4 Hourly RR Chart Reading'!G17)</f>
        <v>0</v>
      </c>
      <c r="B17" s="129" t="str">
        <f>IF(AND('4 Hourly RR Chart Reading'!H17="",'4 Hourly RR Chart Reading'!AE17=""),"",SUM('4 Hourly RR Chart Reading'!H17:AE17))</f>
        <v/>
      </c>
      <c r="C17" s="182" t="str">
        <f t="shared" si="0"/>
        <v/>
      </c>
      <c r="D17" s="186"/>
      <c r="E17" s="183">
        <v>6</v>
      </c>
      <c r="F17" s="189"/>
      <c r="G17" s="190"/>
      <c r="H17" s="240">
        <f>A17</f>
        <v>0</v>
      </c>
      <c r="I17" s="263" t="str">
        <f>IF('1 Pattern 10min  Chart Reading'!$D$2=$E17, '2 Data RR corrMAX'!D$148, "")</f>
        <v/>
      </c>
      <c r="J17" s="263" t="str">
        <f>IF('1 Pattern 10min  Chart Reading'!$D$2=$E17, '2 Data RR corrMAX'!E$148, "")</f>
        <v/>
      </c>
      <c r="K17" s="263" t="str">
        <f>IF('1 Pattern 10min  Chart Reading'!$D$2=$E17, '2 Data RR corrMAX'!F$148, "")</f>
        <v/>
      </c>
      <c r="L17" s="263" t="str">
        <f>IF('1 Pattern 10min  Chart Reading'!$D$2=$E17, '2 Data RR corrMAX'!G$148, "")</f>
        <v/>
      </c>
      <c r="M17" s="263" t="str">
        <f>IF('1 Pattern 10min  Chart Reading'!$D$2=$E17, '2 Data RR corrMAX'!H$148, "")</f>
        <v/>
      </c>
      <c r="N17" s="263" t="str">
        <f>IF('1 Pattern 10min  Chart Reading'!$D$2=$E17, '2 Data RR corrMAX'!I$148, "")</f>
        <v/>
      </c>
      <c r="O17" s="263" t="str">
        <f>IF('1 Pattern 10min  Chart Reading'!$D$2=$E17, '2 Data RR corrMAX'!J$148, "")</f>
        <v/>
      </c>
      <c r="P17" s="263" t="str">
        <f>IF('1 Pattern 10min  Chart Reading'!$D$2=$E17, '2 Data RR corrMAX'!K$148, "")</f>
        <v/>
      </c>
      <c r="Q17" s="263" t="str">
        <f>IF('1 Pattern 10min  Chart Reading'!$D$2=$E17, '2 Data RR corrMAX'!L$148, "")</f>
        <v/>
      </c>
    </row>
    <row r="18" spans="1:17" ht="13.7" customHeight="1" thickBot="1" x14ac:dyDescent="0.3">
      <c r="A18" s="127">
        <f>IF('4 Hourly RR Chart Reading'!G18="","",'4 Hourly RR Chart Reading'!G18)</f>
        <v>0</v>
      </c>
      <c r="B18" s="129" t="str">
        <f>IF(AND('4 Hourly RR Chart Reading'!H18="",'4 Hourly RR Chart Reading'!AE18=""),"",SUM('4 Hourly RR Chart Reading'!H18:AE18))</f>
        <v/>
      </c>
      <c r="C18" s="182" t="str">
        <f t="shared" si="0"/>
        <v/>
      </c>
      <c r="D18" s="186"/>
      <c r="E18" s="183">
        <v>7</v>
      </c>
      <c r="F18" s="189"/>
      <c r="G18" s="190"/>
      <c r="H18" s="240">
        <f t="shared" si="1"/>
        <v>0</v>
      </c>
      <c r="I18" s="263" t="str">
        <f>IF('1 Pattern 10min  Chart Reading'!$D$2=$E18, '2 Data RR corrMAX'!D$148, "")</f>
        <v/>
      </c>
      <c r="J18" s="263" t="str">
        <f>IF('1 Pattern 10min  Chart Reading'!$D$2=$E18, '2 Data RR corrMAX'!E$148, "")</f>
        <v/>
      </c>
      <c r="K18" s="263" t="str">
        <f>IF('1 Pattern 10min  Chart Reading'!$D$2=$E18, '2 Data RR corrMAX'!F$148, "")</f>
        <v/>
      </c>
      <c r="L18" s="263" t="str">
        <f>IF('1 Pattern 10min  Chart Reading'!$D$2=$E18, '2 Data RR corrMAX'!G$148, "")</f>
        <v/>
      </c>
      <c r="M18" s="263" t="str">
        <f>IF('1 Pattern 10min  Chart Reading'!$D$2=$E18, '2 Data RR corrMAX'!H$148, "")</f>
        <v/>
      </c>
      <c r="N18" s="263" t="str">
        <f>IF('1 Pattern 10min  Chart Reading'!$D$2=$E18, '2 Data RR corrMAX'!I$148, "")</f>
        <v/>
      </c>
      <c r="O18" s="263" t="str">
        <f>IF('1 Pattern 10min  Chart Reading'!$D$2=$E18, '2 Data RR corrMAX'!J$148, "")</f>
        <v/>
      </c>
      <c r="P18" s="263" t="str">
        <f>IF('1 Pattern 10min  Chart Reading'!$D$2=$E18, '2 Data RR corrMAX'!K$148, "")</f>
        <v/>
      </c>
      <c r="Q18" s="263" t="str">
        <f>IF('1 Pattern 10min  Chart Reading'!$D$2=$E18, '2 Data RR corrMAX'!L$148, "")</f>
        <v/>
      </c>
    </row>
    <row r="19" spans="1:17" ht="13.7" customHeight="1" thickBot="1" x14ac:dyDescent="0.3">
      <c r="A19" s="127">
        <f>IF('4 Hourly RR Chart Reading'!G19="","",'4 Hourly RR Chart Reading'!G19)</f>
        <v>0</v>
      </c>
      <c r="B19" s="129" t="str">
        <f>IF(AND('4 Hourly RR Chart Reading'!H19="",'4 Hourly RR Chart Reading'!AE19=""),"",SUM('4 Hourly RR Chart Reading'!H19:AE19))</f>
        <v/>
      </c>
      <c r="C19" s="182" t="str">
        <f t="shared" si="0"/>
        <v/>
      </c>
      <c r="D19" s="186"/>
      <c r="E19" s="183">
        <v>8</v>
      </c>
      <c r="F19" s="189"/>
      <c r="G19" s="190"/>
      <c r="H19" s="240">
        <f t="shared" si="1"/>
        <v>0</v>
      </c>
      <c r="I19" s="263" t="str">
        <f>IF('1 Pattern 10min  Chart Reading'!$D$2=$E19, '2 Data RR corrMAX'!D$148, "")</f>
        <v/>
      </c>
      <c r="J19" s="263" t="str">
        <f>IF('1 Pattern 10min  Chart Reading'!$D$2=$E19, '2 Data RR corrMAX'!E$148, "")</f>
        <v/>
      </c>
      <c r="K19" s="263" t="str">
        <f>IF('1 Pattern 10min  Chart Reading'!$D$2=$E19, '2 Data RR corrMAX'!F$148, "")</f>
        <v/>
      </c>
      <c r="L19" s="263" t="str">
        <f>IF('1 Pattern 10min  Chart Reading'!$D$2=$E19, '2 Data RR corrMAX'!G$148, "")</f>
        <v/>
      </c>
      <c r="M19" s="263" t="str">
        <f>IF('1 Pattern 10min  Chart Reading'!$D$2=$E19, '2 Data RR corrMAX'!H$148, "")</f>
        <v/>
      </c>
      <c r="N19" s="263" t="str">
        <f>IF('1 Pattern 10min  Chart Reading'!$D$2=$E19, '2 Data RR corrMAX'!I$148, "")</f>
        <v/>
      </c>
      <c r="O19" s="263" t="str">
        <f>IF('1 Pattern 10min  Chart Reading'!$D$2=$E19, '2 Data RR corrMAX'!J$148, "")</f>
        <v/>
      </c>
      <c r="P19" s="263" t="str">
        <f>IF('1 Pattern 10min  Chart Reading'!$D$2=$E19, '2 Data RR corrMAX'!K$148, "")</f>
        <v/>
      </c>
      <c r="Q19" s="263" t="str">
        <f>IF('1 Pattern 10min  Chart Reading'!$D$2=$E19, '2 Data RR corrMAX'!L$148, "")</f>
        <v/>
      </c>
    </row>
    <row r="20" spans="1:17" ht="13.7" customHeight="1" thickBot="1" x14ac:dyDescent="0.3">
      <c r="A20" s="127">
        <f>IF('4 Hourly RR Chart Reading'!G20="","",'4 Hourly RR Chart Reading'!G20)</f>
        <v>0</v>
      </c>
      <c r="B20" s="129" t="str">
        <f>IF(AND('4 Hourly RR Chart Reading'!H20="",'4 Hourly RR Chart Reading'!AE20=""),"",SUM('4 Hourly RR Chart Reading'!H20:AE20))</f>
        <v/>
      </c>
      <c r="C20" s="182" t="str">
        <f t="shared" si="0"/>
        <v/>
      </c>
      <c r="D20" s="186"/>
      <c r="E20" s="183">
        <v>9</v>
      </c>
      <c r="F20" s="189"/>
      <c r="G20" s="190"/>
      <c r="H20" s="240">
        <f t="shared" si="1"/>
        <v>0</v>
      </c>
      <c r="I20" s="263" t="str">
        <f>IF('1 Pattern 10min  Chart Reading'!$D$2=$E20, '2 Data RR corrMAX'!D$148, "")</f>
        <v/>
      </c>
      <c r="J20" s="263" t="str">
        <f>IF('1 Pattern 10min  Chart Reading'!$D$2=$E20, '2 Data RR corrMAX'!E$148, "")</f>
        <v/>
      </c>
      <c r="K20" s="263" t="str">
        <f>IF('1 Pattern 10min  Chart Reading'!$D$2=$E20, '2 Data RR corrMAX'!F$148, "")</f>
        <v/>
      </c>
      <c r="L20" s="263" t="str">
        <f>IF('1 Pattern 10min  Chart Reading'!$D$2=$E20, '2 Data RR corrMAX'!G$148, "")</f>
        <v/>
      </c>
      <c r="M20" s="263" t="str">
        <f>IF('1 Pattern 10min  Chart Reading'!$D$2=$E20, '2 Data RR corrMAX'!H$148, "")</f>
        <v/>
      </c>
      <c r="N20" s="263" t="str">
        <f>IF('1 Pattern 10min  Chart Reading'!$D$2=$E20, '2 Data RR corrMAX'!I$148, "")</f>
        <v/>
      </c>
      <c r="O20" s="263" t="str">
        <f>IF('1 Pattern 10min  Chart Reading'!$D$2=$E20, '2 Data RR corrMAX'!J$148, "")</f>
        <v/>
      </c>
      <c r="P20" s="263" t="str">
        <f>IF('1 Pattern 10min  Chart Reading'!$D$2=$E20, '2 Data RR corrMAX'!K$148, "")</f>
        <v/>
      </c>
      <c r="Q20" s="263" t="str">
        <f>IF('1 Pattern 10min  Chart Reading'!$D$2=$E20, '2 Data RR corrMAX'!L$148, "")</f>
        <v/>
      </c>
    </row>
    <row r="21" spans="1:17" ht="13.7" customHeight="1" thickBot="1" x14ac:dyDescent="0.3">
      <c r="A21" s="127">
        <f>IF('4 Hourly RR Chart Reading'!G21="","",'4 Hourly RR Chart Reading'!G21)</f>
        <v>0</v>
      </c>
      <c r="B21" s="129" t="str">
        <f>IF(AND('4 Hourly RR Chart Reading'!H21="",'4 Hourly RR Chart Reading'!AE21=""),"",SUM('4 Hourly RR Chart Reading'!H21:AE21))</f>
        <v/>
      </c>
      <c r="C21" s="182" t="str">
        <f t="shared" si="0"/>
        <v/>
      </c>
      <c r="D21" s="186"/>
      <c r="E21" s="183">
        <v>10</v>
      </c>
      <c r="F21" s="189"/>
      <c r="G21" s="190"/>
      <c r="H21" s="240">
        <f t="shared" si="1"/>
        <v>0</v>
      </c>
      <c r="I21" s="263" t="str">
        <f>IF('1 Pattern 10min  Chart Reading'!$D$2=$E21, '2 Data RR corrMAX'!D$148, "")</f>
        <v/>
      </c>
      <c r="J21" s="263" t="str">
        <f>IF('1 Pattern 10min  Chart Reading'!$D$2=$E21, '2 Data RR corrMAX'!E$148, "")</f>
        <v/>
      </c>
      <c r="K21" s="263" t="str">
        <f>IF('1 Pattern 10min  Chart Reading'!$D$2=$E21, '2 Data RR corrMAX'!F$148, "")</f>
        <v/>
      </c>
      <c r="L21" s="263" t="str">
        <f>IF('1 Pattern 10min  Chart Reading'!$D$2=$E21, '2 Data RR corrMAX'!G$148, "")</f>
        <v/>
      </c>
      <c r="M21" s="263" t="str">
        <f>IF('1 Pattern 10min  Chart Reading'!$D$2=$E21, '2 Data RR corrMAX'!H$148, "")</f>
        <v/>
      </c>
      <c r="N21" s="263" t="str">
        <f>IF('1 Pattern 10min  Chart Reading'!$D$2=$E21, '2 Data RR corrMAX'!I$148, "")</f>
        <v/>
      </c>
      <c r="O21" s="263" t="str">
        <f>IF('1 Pattern 10min  Chart Reading'!$D$2=$E21, '2 Data RR corrMAX'!J$148, "")</f>
        <v/>
      </c>
      <c r="P21" s="263" t="str">
        <f>IF('1 Pattern 10min  Chart Reading'!$D$2=$E21, '2 Data RR corrMAX'!K$148, "")</f>
        <v/>
      </c>
      <c r="Q21" s="263" t="str">
        <f>IF('1 Pattern 10min  Chart Reading'!$D$2=$E21, '2 Data RR corrMAX'!L$148, "")</f>
        <v/>
      </c>
    </row>
    <row r="22" spans="1:17" ht="13.7" customHeight="1" thickBot="1" x14ac:dyDescent="0.3">
      <c r="A22" s="127">
        <f>IF('4 Hourly RR Chart Reading'!G22="","",'4 Hourly RR Chart Reading'!G22)</f>
        <v>0</v>
      </c>
      <c r="B22" s="129" t="str">
        <f>IF(AND('4 Hourly RR Chart Reading'!H22="",'4 Hourly RR Chart Reading'!AE22=""),"",SUM('4 Hourly RR Chart Reading'!H22:AE22))</f>
        <v/>
      </c>
      <c r="C22" s="182" t="str">
        <f t="shared" si="0"/>
        <v/>
      </c>
      <c r="D22" s="186"/>
      <c r="E22" s="183">
        <v>11</v>
      </c>
      <c r="F22" s="189"/>
      <c r="G22" s="190"/>
      <c r="H22" s="240">
        <f t="shared" si="1"/>
        <v>0</v>
      </c>
      <c r="I22" s="263" t="str">
        <f>IF('1 Pattern 10min  Chart Reading'!$D$2=$E22, '2 Data RR corrMAX'!D$148, "")</f>
        <v/>
      </c>
      <c r="J22" s="263" t="str">
        <f>IF('1 Pattern 10min  Chart Reading'!$D$2=$E22, '2 Data RR corrMAX'!E$148, "")</f>
        <v/>
      </c>
      <c r="K22" s="263" t="str">
        <f>IF('1 Pattern 10min  Chart Reading'!$D$2=$E22, '2 Data RR corrMAX'!F$148, "")</f>
        <v/>
      </c>
      <c r="L22" s="263" t="str">
        <f>IF('1 Pattern 10min  Chart Reading'!$D$2=$E22, '2 Data RR corrMAX'!G$148, "")</f>
        <v/>
      </c>
      <c r="M22" s="263" t="str">
        <f>IF('1 Pattern 10min  Chart Reading'!$D$2=$E22, '2 Data RR corrMAX'!H$148, "")</f>
        <v/>
      </c>
      <c r="N22" s="263" t="str">
        <f>IF('1 Pattern 10min  Chart Reading'!$D$2=$E22, '2 Data RR corrMAX'!I$148, "")</f>
        <v/>
      </c>
      <c r="O22" s="263" t="str">
        <f>IF('1 Pattern 10min  Chart Reading'!$D$2=$E22, '2 Data RR corrMAX'!J$148, "")</f>
        <v/>
      </c>
      <c r="P22" s="263" t="str">
        <f>IF('1 Pattern 10min  Chart Reading'!$D$2=$E22, '2 Data RR corrMAX'!K$148, "")</f>
        <v/>
      </c>
      <c r="Q22" s="263" t="str">
        <f>IF('1 Pattern 10min  Chart Reading'!$D$2=$E22, '2 Data RR corrMAX'!L$148, "")</f>
        <v/>
      </c>
    </row>
    <row r="23" spans="1:17" ht="13.7" customHeight="1" thickBot="1" x14ac:dyDescent="0.3">
      <c r="A23" s="127">
        <f>IF('4 Hourly RR Chart Reading'!G23="","",'4 Hourly RR Chart Reading'!G23)</f>
        <v>0</v>
      </c>
      <c r="B23" s="129" t="str">
        <f>IF(AND('4 Hourly RR Chart Reading'!H23="",'4 Hourly RR Chart Reading'!AE23=""),"",SUM('4 Hourly RR Chart Reading'!H23:AE23))</f>
        <v/>
      </c>
      <c r="C23" s="182" t="str">
        <f t="shared" si="0"/>
        <v/>
      </c>
      <c r="D23" s="186"/>
      <c r="E23" s="183">
        <v>12</v>
      </c>
      <c r="F23" s="189"/>
      <c r="G23" s="190"/>
      <c r="H23" s="240">
        <f t="shared" si="1"/>
        <v>0</v>
      </c>
      <c r="I23" s="263" t="str">
        <f>IF('1 Pattern 10min  Chart Reading'!$D$2=$E23, '2 Data RR corrMAX'!D$148, "")</f>
        <v/>
      </c>
      <c r="J23" s="263" t="str">
        <f>IF('1 Pattern 10min  Chart Reading'!$D$2=$E23, '2 Data RR corrMAX'!E$148, "")</f>
        <v/>
      </c>
      <c r="K23" s="263" t="str">
        <f>IF('1 Pattern 10min  Chart Reading'!$D$2=$E23, '2 Data RR corrMAX'!F$148, "")</f>
        <v/>
      </c>
      <c r="L23" s="263" t="str">
        <f>IF('1 Pattern 10min  Chart Reading'!$D$2=$E23, '2 Data RR corrMAX'!G$148, "")</f>
        <v/>
      </c>
      <c r="M23" s="263" t="str">
        <f>IF('1 Pattern 10min  Chart Reading'!$D$2=$E23, '2 Data RR corrMAX'!H$148, "")</f>
        <v/>
      </c>
      <c r="N23" s="263" t="str">
        <f>IF('1 Pattern 10min  Chart Reading'!$D$2=$E23, '2 Data RR corrMAX'!I$148, "")</f>
        <v/>
      </c>
      <c r="O23" s="263" t="str">
        <f>IF('1 Pattern 10min  Chart Reading'!$D$2=$E23, '2 Data RR corrMAX'!J$148, "")</f>
        <v/>
      </c>
      <c r="P23" s="263" t="str">
        <f>IF('1 Pattern 10min  Chart Reading'!$D$2=$E23, '2 Data RR corrMAX'!K$148, "")</f>
        <v/>
      </c>
      <c r="Q23" s="263" t="str">
        <f>IF('1 Pattern 10min  Chart Reading'!$D$2=$E23, '2 Data RR corrMAX'!L$148, "")</f>
        <v/>
      </c>
    </row>
    <row r="24" spans="1:17" ht="13.7" customHeight="1" thickBot="1" x14ac:dyDescent="0.3">
      <c r="A24" s="127">
        <f>IF('4 Hourly RR Chart Reading'!G24="","",'4 Hourly RR Chart Reading'!G24)</f>
        <v>0</v>
      </c>
      <c r="B24" s="129" t="str">
        <f>IF(AND('4 Hourly RR Chart Reading'!H24="",'4 Hourly RR Chart Reading'!AE24=""),"",SUM('4 Hourly RR Chart Reading'!H24:AE24))</f>
        <v/>
      </c>
      <c r="C24" s="182" t="str">
        <f t="shared" si="0"/>
        <v/>
      </c>
      <c r="D24" s="186"/>
      <c r="E24" s="183">
        <v>13</v>
      </c>
      <c r="F24" s="189"/>
      <c r="G24" s="190"/>
      <c r="H24" s="240">
        <f t="shared" si="1"/>
        <v>0</v>
      </c>
      <c r="I24" s="263" t="str">
        <f>IF('1 Pattern 10min  Chart Reading'!$D$2=$E24, '2 Data RR corrMAX'!D$148, "")</f>
        <v/>
      </c>
      <c r="J24" s="263" t="str">
        <f>IF('1 Pattern 10min  Chart Reading'!$D$2=$E24, '2 Data RR corrMAX'!E$148, "")</f>
        <v/>
      </c>
      <c r="K24" s="263" t="str">
        <f>IF('1 Pattern 10min  Chart Reading'!$D$2=$E24, '2 Data RR corrMAX'!F$148, "")</f>
        <v/>
      </c>
      <c r="L24" s="263" t="str">
        <f>IF('1 Pattern 10min  Chart Reading'!$D$2=$E24, '2 Data RR corrMAX'!G$148, "")</f>
        <v/>
      </c>
      <c r="M24" s="263" t="str">
        <f>IF('1 Pattern 10min  Chart Reading'!$D$2=$E24, '2 Data RR corrMAX'!H$148, "")</f>
        <v/>
      </c>
      <c r="N24" s="263" t="str">
        <f>IF('1 Pattern 10min  Chart Reading'!$D$2=$E24, '2 Data RR corrMAX'!I$148, "")</f>
        <v/>
      </c>
      <c r="O24" s="263" t="str">
        <f>IF('1 Pattern 10min  Chart Reading'!$D$2=$E24, '2 Data RR corrMAX'!J$148, "")</f>
        <v/>
      </c>
      <c r="P24" s="263" t="str">
        <f>IF('1 Pattern 10min  Chart Reading'!$D$2=$E24, '2 Data RR corrMAX'!K$148, "")</f>
        <v/>
      </c>
      <c r="Q24" s="263" t="str">
        <f>IF('1 Pattern 10min  Chart Reading'!$D$2=$E24, '2 Data RR corrMAX'!L$148, "")</f>
        <v/>
      </c>
    </row>
    <row r="25" spans="1:17" ht="13.7" customHeight="1" thickBot="1" x14ac:dyDescent="0.3">
      <c r="A25" s="127">
        <f>IF('4 Hourly RR Chart Reading'!G25="","",'4 Hourly RR Chart Reading'!G25)</f>
        <v>0</v>
      </c>
      <c r="B25" s="129" t="str">
        <f>IF(AND('4 Hourly RR Chart Reading'!H25="",'4 Hourly RR Chart Reading'!AE25=""),"",SUM('4 Hourly RR Chart Reading'!H25:AE25))</f>
        <v/>
      </c>
      <c r="C25" s="182" t="str">
        <f t="shared" si="0"/>
        <v/>
      </c>
      <c r="D25" s="186"/>
      <c r="E25" s="183">
        <v>14</v>
      </c>
      <c r="F25" s="189"/>
      <c r="G25" s="190"/>
      <c r="H25" s="240">
        <f t="shared" si="1"/>
        <v>0</v>
      </c>
      <c r="I25" s="263" t="str">
        <f>IF('1 Pattern 10min  Chart Reading'!$D$2=$E25, '2 Data RR corrMAX'!D$148, "")</f>
        <v/>
      </c>
      <c r="J25" s="263" t="str">
        <f>IF('1 Pattern 10min  Chart Reading'!$D$2=$E25, '2 Data RR corrMAX'!E$148, "")</f>
        <v/>
      </c>
      <c r="K25" s="263" t="str">
        <f>IF('1 Pattern 10min  Chart Reading'!$D$2=$E25, '2 Data RR corrMAX'!F$148, "")</f>
        <v/>
      </c>
      <c r="L25" s="263" t="str">
        <f>IF('1 Pattern 10min  Chart Reading'!$D$2=$E25, '2 Data RR corrMAX'!G$148, "")</f>
        <v/>
      </c>
      <c r="M25" s="263" t="str">
        <f>IF('1 Pattern 10min  Chart Reading'!$D$2=$E25, '2 Data RR corrMAX'!H$148, "")</f>
        <v/>
      </c>
      <c r="N25" s="263" t="str">
        <f>IF('1 Pattern 10min  Chart Reading'!$D$2=$E25, '2 Data RR corrMAX'!I$148, "")</f>
        <v/>
      </c>
      <c r="O25" s="263" t="str">
        <f>IF('1 Pattern 10min  Chart Reading'!$D$2=$E25, '2 Data RR corrMAX'!J$148, "")</f>
        <v/>
      </c>
      <c r="P25" s="263" t="str">
        <f>IF('1 Pattern 10min  Chart Reading'!$D$2=$E25, '2 Data RR corrMAX'!K$148, "")</f>
        <v/>
      </c>
      <c r="Q25" s="263" t="str">
        <f>IF('1 Pattern 10min  Chart Reading'!$D$2=$E25, '2 Data RR corrMAX'!L$148, "")</f>
        <v/>
      </c>
    </row>
    <row r="26" spans="1:17" ht="13.7" customHeight="1" thickBot="1" x14ac:dyDescent="0.3">
      <c r="A26" s="127">
        <f>IF('4 Hourly RR Chart Reading'!G26="","",'4 Hourly RR Chart Reading'!G26)</f>
        <v>0</v>
      </c>
      <c r="B26" s="129" t="str">
        <f>IF(AND('4 Hourly RR Chart Reading'!H26="",'4 Hourly RR Chart Reading'!AE26=""),"",SUM('4 Hourly RR Chart Reading'!H26:AE26))</f>
        <v/>
      </c>
      <c r="C26" s="182" t="str">
        <f t="shared" si="0"/>
        <v/>
      </c>
      <c r="D26" s="186"/>
      <c r="E26" s="183">
        <v>15</v>
      </c>
      <c r="F26" s="189"/>
      <c r="G26" s="190"/>
      <c r="H26" s="240">
        <f t="shared" si="1"/>
        <v>0</v>
      </c>
      <c r="I26" s="263" t="str">
        <f>IF('1 Pattern 10min  Chart Reading'!$D$2=$E26, '2 Data RR corrMAX'!D$148, "")</f>
        <v/>
      </c>
      <c r="J26" s="263" t="str">
        <f>IF('1 Pattern 10min  Chart Reading'!$D$2=$E26, '2 Data RR corrMAX'!E$148, "")</f>
        <v/>
      </c>
      <c r="K26" s="263" t="str">
        <f>IF('1 Pattern 10min  Chart Reading'!$D$2=$E26, '2 Data RR corrMAX'!F$148, "")</f>
        <v/>
      </c>
      <c r="L26" s="263" t="str">
        <f>IF('1 Pattern 10min  Chart Reading'!$D$2=$E26, '2 Data RR corrMAX'!G$148, "")</f>
        <v/>
      </c>
      <c r="M26" s="263" t="str">
        <f>IF('1 Pattern 10min  Chart Reading'!$D$2=$E26, '2 Data RR corrMAX'!H$148, "")</f>
        <v/>
      </c>
      <c r="N26" s="263" t="str">
        <f>IF('1 Pattern 10min  Chart Reading'!$D$2=$E26, '2 Data RR corrMAX'!I$148, "")</f>
        <v/>
      </c>
      <c r="O26" s="263" t="str">
        <f>IF('1 Pattern 10min  Chart Reading'!$D$2=$E26, '2 Data RR corrMAX'!J$148, "")</f>
        <v/>
      </c>
      <c r="P26" s="263" t="str">
        <f>IF('1 Pattern 10min  Chart Reading'!$D$2=$E26, '2 Data RR corrMAX'!K$148, "")</f>
        <v/>
      </c>
      <c r="Q26" s="263" t="str">
        <f>IF('1 Pattern 10min  Chart Reading'!$D$2=$E26, '2 Data RR corrMAX'!L$148, "")</f>
        <v/>
      </c>
    </row>
    <row r="27" spans="1:17" ht="13.7" customHeight="1" thickBot="1" x14ac:dyDescent="0.3">
      <c r="A27" s="127">
        <f>IF('4 Hourly RR Chart Reading'!G27="","",'4 Hourly RR Chart Reading'!G27)</f>
        <v>0</v>
      </c>
      <c r="B27" s="129" t="str">
        <f>IF(AND('4 Hourly RR Chart Reading'!H27="",'4 Hourly RR Chart Reading'!AE27=""),"",SUM('4 Hourly RR Chart Reading'!H27:AE27))</f>
        <v/>
      </c>
      <c r="C27" s="182" t="str">
        <f t="shared" si="0"/>
        <v/>
      </c>
      <c r="D27" s="186"/>
      <c r="E27" s="183">
        <v>16</v>
      </c>
      <c r="F27" s="189"/>
      <c r="G27" s="190"/>
      <c r="H27" s="240">
        <f t="shared" si="1"/>
        <v>0</v>
      </c>
      <c r="I27" s="263" t="str">
        <f>IF('1 Pattern 10min  Chart Reading'!$D$2=$E27, '2 Data RR corrMAX'!D$148, "")</f>
        <v/>
      </c>
      <c r="J27" s="263" t="str">
        <f>IF('1 Pattern 10min  Chart Reading'!$D$2=$E27, '2 Data RR corrMAX'!E$148, "")</f>
        <v/>
      </c>
      <c r="K27" s="263" t="str">
        <f>IF('1 Pattern 10min  Chart Reading'!$D$2=$E27, '2 Data RR corrMAX'!F$148, "")</f>
        <v/>
      </c>
      <c r="L27" s="263" t="str">
        <f>IF('1 Pattern 10min  Chart Reading'!$D$2=$E27, '2 Data RR corrMAX'!G$148, "")</f>
        <v/>
      </c>
      <c r="M27" s="263" t="str">
        <f>IF('1 Pattern 10min  Chart Reading'!$D$2=$E27, '2 Data RR corrMAX'!H$148, "")</f>
        <v/>
      </c>
      <c r="N27" s="263" t="str">
        <f>IF('1 Pattern 10min  Chart Reading'!$D$2=$E27, '2 Data RR corrMAX'!I$148, "")</f>
        <v/>
      </c>
      <c r="O27" s="263" t="str">
        <f>IF('1 Pattern 10min  Chart Reading'!$D$2=$E27, '2 Data RR corrMAX'!J$148, "")</f>
        <v/>
      </c>
      <c r="P27" s="263" t="str">
        <f>IF('1 Pattern 10min  Chart Reading'!$D$2=$E27, '2 Data RR corrMAX'!K$148, "")</f>
        <v/>
      </c>
      <c r="Q27" s="263" t="str">
        <f>IF('1 Pattern 10min  Chart Reading'!$D$2=$E27, '2 Data RR corrMAX'!L$148, "")</f>
        <v/>
      </c>
    </row>
    <row r="28" spans="1:17" ht="13.7" customHeight="1" thickBot="1" x14ac:dyDescent="0.3">
      <c r="A28" s="127">
        <f>IF('4 Hourly RR Chart Reading'!G28="","",'4 Hourly RR Chart Reading'!G28)</f>
        <v>0</v>
      </c>
      <c r="B28" s="129" t="str">
        <f>IF(AND('4 Hourly RR Chart Reading'!H28="",'4 Hourly RR Chart Reading'!AE28=""),"",SUM('4 Hourly RR Chart Reading'!H28:AE28))</f>
        <v/>
      </c>
      <c r="C28" s="182" t="str">
        <f t="shared" si="0"/>
        <v/>
      </c>
      <c r="D28" s="186"/>
      <c r="E28" s="183">
        <v>17</v>
      </c>
      <c r="F28" s="189"/>
      <c r="G28" s="190"/>
      <c r="H28" s="240">
        <f t="shared" si="1"/>
        <v>0</v>
      </c>
      <c r="I28" s="263" t="str">
        <f>IF('1 Pattern 10min  Chart Reading'!$D$2=$E28, '2 Data RR corrMAX'!D$148, "")</f>
        <v/>
      </c>
      <c r="J28" s="263" t="str">
        <f>IF('1 Pattern 10min  Chart Reading'!$D$2=$E28, '2 Data RR corrMAX'!E$148, "")</f>
        <v/>
      </c>
      <c r="K28" s="263" t="str">
        <f>IF('1 Pattern 10min  Chart Reading'!$D$2=$E28, '2 Data RR corrMAX'!F$148, "")</f>
        <v/>
      </c>
      <c r="L28" s="263" t="str">
        <f>IF('1 Pattern 10min  Chart Reading'!$D$2=$E28, '2 Data RR corrMAX'!G$148, "")</f>
        <v/>
      </c>
      <c r="M28" s="263" t="str">
        <f>IF('1 Pattern 10min  Chart Reading'!$D$2=$E28, '2 Data RR corrMAX'!H$148, "")</f>
        <v/>
      </c>
      <c r="N28" s="263" t="str">
        <f>IF('1 Pattern 10min  Chart Reading'!$D$2=$E28, '2 Data RR corrMAX'!I$148, "")</f>
        <v/>
      </c>
      <c r="O28" s="263" t="str">
        <f>IF('1 Pattern 10min  Chart Reading'!$D$2=$E28, '2 Data RR corrMAX'!J$148, "")</f>
        <v/>
      </c>
      <c r="P28" s="263" t="str">
        <f>IF('1 Pattern 10min  Chart Reading'!$D$2=$E28, '2 Data RR corrMAX'!K$148, "")</f>
        <v/>
      </c>
      <c r="Q28" s="263" t="str">
        <f>IF('1 Pattern 10min  Chart Reading'!$D$2=$E28, '2 Data RR corrMAX'!L$148, "")</f>
        <v/>
      </c>
    </row>
    <row r="29" spans="1:17" ht="13.7" customHeight="1" thickBot="1" x14ac:dyDescent="0.3">
      <c r="A29" s="127">
        <f>IF('4 Hourly RR Chart Reading'!G29="","",'4 Hourly RR Chart Reading'!G29)</f>
        <v>0</v>
      </c>
      <c r="B29" s="129" t="str">
        <f>IF(AND('4 Hourly RR Chart Reading'!H29="",'4 Hourly RR Chart Reading'!AE29=""),"",SUM('4 Hourly RR Chart Reading'!H29:AE29))</f>
        <v/>
      </c>
      <c r="C29" s="182" t="str">
        <f t="shared" si="0"/>
        <v/>
      </c>
      <c r="D29" s="186"/>
      <c r="E29" s="183">
        <v>18</v>
      </c>
      <c r="F29" s="189"/>
      <c r="G29" s="190"/>
      <c r="H29" s="240">
        <f t="shared" si="1"/>
        <v>0</v>
      </c>
      <c r="I29" s="263" t="str">
        <f>IF('1 Pattern 10min  Chart Reading'!$D$2=$E29, '2 Data RR corrMAX'!D$148, "")</f>
        <v/>
      </c>
      <c r="J29" s="263" t="str">
        <f>IF('1 Pattern 10min  Chart Reading'!$D$2=$E29, '2 Data RR corrMAX'!E$148, "")</f>
        <v/>
      </c>
      <c r="K29" s="263" t="str">
        <f>IF('1 Pattern 10min  Chart Reading'!$D$2=$E29, '2 Data RR corrMAX'!F$148, "")</f>
        <v/>
      </c>
      <c r="L29" s="263" t="str">
        <f>IF('1 Pattern 10min  Chart Reading'!$D$2=$E29, '2 Data RR corrMAX'!G$148, "")</f>
        <v/>
      </c>
      <c r="M29" s="263" t="str">
        <f>IF('1 Pattern 10min  Chart Reading'!$D$2=$E29, '2 Data RR corrMAX'!H$148, "")</f>
        <v/>
      </c>
      <c r="N29" s="263" t="str">
        <f>IF('1 Pattern 10min  Chart Reading'!$D$2=$E29, '2 Data RR corrMAX'!I$148, "")</f>
        <v/>
      </c>
      <c r="O29" s="263" t="str">
        <f>IF('1 Pattern 10min  Chart Reading'!$D$2=$E29, '2 Data RR corrMAX'!J$148, "")</f>
        <v/>
      </c>
      <c r="P29" s="263" t="str">
        <f>IF('1 Pattern 10min  Chart Reading'!$D$2=$E29, '2 Data RR corrMAX'!K$148, "")</f>
        <v/>
      </c>
      <c r="Q29" s="263" t="str">
        <f>IF('1 Pattern 10min  Chart Reading'!$D$2=$E29, '2 Data RR corrMAX'!L$148, "")</f>
        <v/>
      </c>
    </row>
    <row r="30" spans="1:17" ht="13.7" customHeight="1" thickBot="1" x14ac:dyDescent="0.3">
      <c r="A30" s="127">
        <f>IF('4 Hourly RR Chart Reading'!G30="","",'4 Hourly RR Chart Reading'!G30)</f>
        <v>0</v>
      </c>
      <c r="B30" s="129" t="str">
        <f>IF(AND('4 Hourly RR Chart Reading'!H30="",'4 Hourly RR Chart Reading'!AE30=""),"",SUM('4 Hourly RR Chart Reading'!H30:AE30))</f>
        <v/>
      </c>
      <c r="C30" s="182" t="str">
        <f t="shared" si="0"/>
        <v/>
      </c>
      <c r="D30" s="186"/>
      <c r="E30" s="183">
        <v>19</v>
      </c>
      <c r="F30" s="189"/>
      <c r="G30" s="190"/>
      <c r="H30" s="240">
        <f t="shared" si="1"/>
        <v>0</v>
      </c>
      <c r="I30" s="263" t="str">
        <f>IF('1 Pattern 10min  Chart Reading'!$D$2=$E30, '2 Data RR corrMAX'!D$148, "")</f>
        <v/>
      </c>
      <c r="J30" s="263" t="str">
        <f>IF('1 Pattern 10min  Chart Reading'!$D$2=$E30, '2 Data RR corrMAX'!E$148, "")</f>
        <v/>
      </c>
      <c r="K30" s="263" t="str">
        <f>IF('1 Pattern 10min  Chart Reading'!$D$2=$E30, '2 Data RR corrMAX'!F$148, "")</f>
        <v/>
      </c>
      <c r="L30" s="263" t="str">
        <f>IF('1 Pattern 10min  Chart Reading'!$D$2=$E30, '2 Data RR corrMAX'!G$148, "")</f>
        <v/>
      </c>
      <c r="M30" s="263" t="str">
        <f>IF('1 Pattern 10min  Chart Reading'!$D$2=$E30, '2 Data RR corrMAX'!H$148, "")</f>
        <v/>
      </c>
      <c r="N30" s="263" t="str">
        <f>IF('1 Pattern 10min  Chart Reading'!$D$2=$E30, '2 Data RR corrMAX'!I$148, "")</f>
        <v/>
      </c>
      <c r="O30" s="263" t="str">
        <f>IF('1 Pattern 10min  Chart Reading'!$D$2=$E30, '2 Data RR corrMAX'!J$148, "")</f>
        <v/>
      </c>
      <c r="P30" s="263" t="str">
        <f>IF('1 Pattern 10min  Chart Reading'!$D$2=$E30, '2 Data RR corrMAX'!K$148, "")</f>
        <v/>
      </c>
      <c r="Q30" s="263" t="str">
        <f>IF('1 Pattern 10min  Chart Reading'!$D$2=$E30, '2 Data RR corrMAX'!L$148, "")</f>
        <v/>
      </c>
    </row>
    <row r="31" spans="1:17" ht="13.7" customHeight="1" thickBot="1" x14ac:dyDescent="0.3">
      <c r="A31" s="127">
        <f>IF('4 Hourly RR Chart Reading'!G31="","",'4 Hourly RR Chart Reading'!G31)</f>
        <v>0</v>
      </c>
      <c r="B31" s="129" t="str">
        <f>IF(AND('4 Hourly RR Chart Reading'!H31="",'4 Hourly RR Chart Reading'!AE31=""),"",SUM('4 Hourly RR Chart Reading'!H31:AE31))</f>
        <v/>
      </c>
      <c r="C31" s="182" t="str">
        <f t="shared" si="0"/>
        <v/>
      </c>
      <c r="D31" s="186"/>
      <c r="E31" s="183">
        <v>20</v>
      </c>
      <c r="F31" s="189"/>
      <c r="G31" s="190"/>
      <c r="H31" s="240">
        <f t="shared" si="1"/>
        <v>0</v>
      </c>
      <c r="I31" s="263" t="str">
        <f>IF('1 Pattern 10min  Chart Reading'!$D$2=$E31, '2 Data RR corrMAX'!D$148, "")</f>
        <v/>
      </c>
      <c r="J31" s="263" t="str">
        <f>IF('1 Pattern 10min  Chart Reading'!$D$2=$E31, '2 Data RR corrMAX'!E$148, "")</f>
        <v/>
      </c>
      <c r="K31" s="263" t="str">
        <f>IF('1 Pattern 10min  Chart Reading'!$D$2=$E31, '2 Data RR corrMAX'!F$148, "")</f>
        <v/>
      </c>
      <c r="L31" s="263" t="str">
        <f>IF('1 Pattern 10min  Chart Reading'!$D$2=$E31, '2 Data RR corrMAX'!G$148, "")</f>
        <v/>
      </c>
      <c r="M31" s="263" t="str">
        <f>IF('1 Pattern 10min  Chart Reading'!$D$2=$E31, '2 Data RR corrMAX'!H$148, "")</f>
        <v/>
      </c>
      <c r="N31" s="263" t="str">
        <f>IF('1 Pattern 10min  Chart Reading'!$D$2=$E31, '2 Data RR corrMAX'!I$148, "")</f>
        <v/>
      </c>
      <c r="O31" s="263" t="str">
        <f>IF('1 Pattern 10min  Chart Reading'!$D$2=$E31, '2 Data RR corrMAX'!J$148, "")</f>
        <v/>
      </c>
      <c r="P31" s="263" t="str">
        <f>IF('1 Pattern 10min  Chart Reading'!$D$2=$E31, '2 Data RR corrMAX'!K$148, "")</f>
        <v/>
      </c>
      <c r="Q31" s="263" t="str">
        <f>IF('1 Pattern 10min  Chart Reading'!$D$2=$E31, '2 Data RR corrMAX'!L$148, "")</f>
        <v/>
      </c>
    </row>
    <row r="32" spans="1:17" ht="13.7" customHeight="1" thickBot="1" x14ac:dyDescent="0.3">
      <c r="A32" s="127">
        <f>IF('4 Hourly RR Chart Reading'!G32="","",'4 Hourly RR Chart Reading'!G32)</f>
        <v>0</v>
      </c>
      <c r="B32" s="129" t="str">
        <f>IF(AND('4 Hourly RR Chart Reading'!H32="",'4 Hourly RR Chart Reading'!AE32=""),"",SUM('4 Hourly RR Chart Reading'!H32:AE32))</f>
        <v/>
      </c>
      <c r="C32" s="182" t="str">
        <f t="shared" si="0"/>
        <v/>
      </c>
      <c r="D32" s="186"/>
      <c r="E32" s="183">
        <v>21</v>
      </c>
      <c r="F32" s="189"/>
      <c r="G32" s="190"/>
      <c r="H32" s="240">
        <f t="shared" si="1"/>
        <v>0</v>
      </c>
      <c r="I32" s="263" t="str">
        <f>IF('1 Pattern 10min  Chart Reading'!$D$2=$E32, '2 Data RR corrMAX'!D$148, "")</f>
        <v/>
      </c>
      <c r="J32" s="263" t="str">
        <f>IF('1 Pattern 10min  Chart Reading'!$D$2=$E32, '2 Data RR corrMAX'!E$148, "")</f>
        <v/>
      </c>
      <c r="K32" s="263" t="str">
        <f>IF('1 Pattern 10min  Chart Reading'!$D$2=$E32, '2 Data RR corrMAX'!F$148, "")</f>
        <v/>
      </c>
      <c r="L32" s="263" t="str">
        <f>IF('1 Pattern 10min  Chart Reading'!$D$2=$E32, '2 Data RR corrMAX'!G$148, "")</f>
        <v/>
      </c>
      <c r="M32" s="263" t="str">
        <f>IF('1 Pattern 10min  Chart Reading'!$D$2=$E32, '2 Data RR corrMAX'!H$148, "")</f>
        <v/>
      </c>
      <c r="N32" s="263" t="str">
        <f>IF('1 Pattern 10min  Chart Reading'!$D$2=$E32, '2 Data RR corrMAX'!I$148, "")</f>
        <v/>
      </c>
      <c r="O32" s="263" t="str">
        <f>IF('1 Pattern 10min  Chart Reading'!$D$2=$E32, '2 Data RR corrMAX'!J$148, "")</f>
        <v/>
      </c>
      <c r="P32" s="263" t="str">
        <f>IF('1 Pattern 10min  Chart Reading'!$D$2=$E32, '2 Data RR corrMAX'!K$148, "")</f>
        <v/>
      </c>
      <c r="Q32" s="263" t="str">
        <f>IF('1 Pattern 10min  Chart Reading'!$D$2=$E32, '2 Data RR corrMAX'!L$148, "")</f>
        <v/>
      </c>
    </row>
    <row r="33" spans="1:32" ht="13.7" customHeight="1" thickBot="1" x14ac:dyDescent="0.3">
      <c r="A33" s="127">
        <f>IF('4 Hourly RR Chart Reading'!G33="","",'4 Hourly RR Chart Reading'!G33)</f>
        <v>0</v>
      </c>
      <c r="B33" s="129" t="str">
        <f>IF(AND('4 Hourly RR Chart Reading'!H33="",'4 Hourly RR Chart Reading'!AE33=""),"",SUM('4 Hourly RR Chart Reading'!H33:AE33))</f>
        <v/>
      </c>
      <c r="C33" s="182" t="str">
        <f t="shared" si="0"/>
        <v/>
      </c>
      <c r="D33" s="186"/>
      <c r="E33" s="183">
        <v>22</v>
      </c>
      <c r="F33" s="189"/>
      <c r="G33" s="190"/>
      <c r="H33" s="240">
        <f t="shared" si="1"/>
        <v>0</v>
      </c>
      <c r="I33" s="263" t="str">
        <f>IF('1 Pattern 10min  Chart Reading'!$D$2=$E33, '2 Data RR corrMAX'!D$148, "")</f>
        <v/>
      </c>
      <c r="J33" s="263" t="str">
        <f>IF('1 Pattern 10min  Chart Reading'!$D$2=$E33, '2 Data RR corrMAX'!E$148, "")</f>
        <v/>
      </c>
      <c r="K33" s="263" t="str">
        <f>IF('1 Pattern 10min  Chart Reading'!$D$2=$E33, '2 Data RR corrMAX'!F$148, "")</f>
        <v/>
      </c>
      <c r="L33" s="263" t="str">
        <f>IF('1 Pattern 10min  Chart Reading'!$D$2=$E33, '2 Data RR corrMAX'!G$148, "")</f>
        <v/>
      </c>
      <c r="M33" s="263" t="str">
        <f>IF('1 Pattern 10min  Chart Reading'!$D$2=$E33, '2 Data RR corrMAX'!H$148, "")</f>
        <v/>
      </c>
      <c r="N33" s="263" t="str">
        <f>IF('1 Pattern 10min  Chart Reading'!$D$2=$E33, '2 Data RR corrMAX'!I$148, "")</f>
        <v/>
      </c>
      <c r="O33" s="263" t="str">
        <f>IF('1 Pattern 10min  Chart Reading'!$D$2=$E33, '2 Data RR corrMAX'!J$148, "")</f>
        <v/>
      </c>
      <c r="P33" s="263" t="str">
        <f>IF('1 Pattern 10min  Chart Reading'!$D$2=$E33, '2 Data RR corrMAX'!K$148, "")</f>
        <v/>
      </c>
      <c r="Q33" s="263" t="str">
        <f>IF('1 Pattern 10min  Chart Reading'!$D$2=$E33, '2 Data RR corrMAX'!L$148, "")</f>
        <v/>
      </c>
    </row>
    <row r="34" spans="1:32" ht="13.7" customHeight="1" thickBot="1" x14ac:dyDescent="0.3">
      <c r="A34" s="127">
        <f>IF('4 Hourly RR Chart Reading'!G34="","",'4 Hourly RR Chart Reading'!G34)</f>
        <v>0</v>
      </c>
      <c r="B34" s="129" t="str">
        <f>IF(AND('4 Hourly RR Chart Reading'!H34="",'4 Hourly RR Chart Reading'!AE34=""),"",SUM('4 Hourly RR Chart Reading'!H34:AE34))</f>
        <v/>
      </c>
      <c r="C34" s="182" t="str">
        <f t="shared" si="0"/>
        <v/>
      </c>
      <c r="D34" s="186"/>
      <c r="E34" s="183">
        <v>23</v>
      </c>
      <c r="F34" s="189"/>
      <c r="G34" s="190"/>
      <c r="H34" s="240">
        <f t="shared" si="1"/>
        <v>0</v>
      </c>
      <c r="I34" s="263" t="str">
        <f>IF('1 Pattern 10min  Chart Reading'!$D$2=$E34, '2 Data RR corrMAX'!D$148, "")</f>
        <v/>
      </c>
      <c r="J34" s="263" t="str">
        <f>IF('1 Pattern 10min  Chart Reading'!$D$2=$E34, '2 Data RR corrMAX'!E$148, "")</f>
        <v/>
      </c>
      <c r="K34" s="263" t="str">
        <f>IF('1 Pattern 10min  Chart Reading'!$D$2=$E34, '2 Data RR corrMAX'!F$148, "")</f>
        <v/>
      </c>
      <c r="L34" s="263" t="str">
        <f>IF('1 Pattern 10min  Chart Reading'!$D$2=$E34, '2 Data RR corrMAX'!G$148, "")</f>
        <v/>
      </c>
      <c r="M34" s="263" t="str">
        <f>IF('1 Pattern 10min  Chart Reading'!$D$2=$E34, '2 Data RR corrMAX'!H$148, "")</f>
        <v/>
      </c>
      <c r="N34" s="263" t="str">
        <f>IF('1 Pattern 10min  Chart Reading'!$D$2=$E34, '2 Data RR corrMAX'!I$148, "")</f>
        <v/>
      </c>
      <c r="O34" s="263" t="str">
        <f>IF('1 Pattern 10min  Chart Reading'!$D$2=$E34, '2 Data RR corrMAX'!J$148, "")</f>
        <v/>
      </c>
      <c r="P34" s="263" t="str">
        <f>IF('1 Pattern 10min  Chart Reading'!$D$2=$E34, '2 Data RR corrMAX'!K$148, "")</f>
        <v/>
      </c>
      <c r="Q34" s="263" t="str">
        <f>IF('1 Pattern 10min  Chart Reading'!$D$2=$E34, '2 Data RR corrMAX'!L$148, "")</f>
        <v/>
      </c>
    </row>
    <row r="35" spans="1:32" ht="13.7" customHeight="1" thickBot="1" x14ac:dyDescent="0.3">
      <c r="A35" s="127">
        <f>IF('4 Hourly RR Chart Reading'!G35="","",'4 Hourly RR Chart Reading'!G35)</f>
        <v>0</v>
      </c>
      <c r="B35" s="129" t="str">
        <f>IF(AND('4 Hourly RR Chart Reading'!H35="",'4 Hourly RR Chart Reading'!AE35=""),"",SUM('4 Hourly RR Chart Reading'!H35:AE35))</f>
        <v/>
      </c>
      <c r="C35" s="182" t="str">
        <f t="shared" si="0"/>
        <v/>
      </c>
      <c r="D35" s="186"/>
      <c r="E35" s="183">
        <v>24</v>
      </c>
      <c r="F35" s="189"/>
      <c r="G35" s="190"/>
      <c r="H35" s="240">
        <f t="shared" si="1"/>
        <v>0</v>
      </c>
      <c r="I35" s="263" t="str">
        <f>IF('1 Pattern 10min  Chart Reading'!$D$2=$E35, '2 Data RR corrMAX'!D$148, "")</f>
        <v/>
      </c>
      <c r="J35" s="263" t="str">
        <f>IF('1 Pattern 10min  Chart Reading'!$D$2=$E35, '2 Data RR corrMAX'!E$148, "")</f>
        <v/>
      </c>
      <c r="K35" s="263" t="str">
        <f>IF('1 Pattern 10min  Chart Reading'!$D$2=$E35, '2 Data RR corrMAX'!F$148, "")</f>
        <v/>
      </c>
      <c r="L35" s="263" t="str">
        <f>IF('1 Pattern 10min  Chart Reading'!$D$2=$E35, '2 Data RR corrMAX'!G$148, "")</f>
        <v/>
      </c>
      <c r="M35" s="263" t="str">
        <f>IF('1 Pattern 10min  Chart Reading'!$D$2=$E35, '2 Data RR corrMAX'!H$148, "")</f>
        <v/>
      </c>
      <c r="N35" s="263" t="str">
        <f>IF('1 Pattern 10min  Chart Reading'!$D$2=$E35, '2 Data RR corrMAX'!I$148, "")</f>
        <v/>
      </c>
      <c r="O35" s="263" t="str">
        <f>IF('1 Pattern 10min  Chart Reading'!$D$2=$E35, '2 Data RR corrMAX'!J$148, "")</f>
        <v/>
      </c>
      <c r="P35" s="263" t="str">
        <f>IF('1 Pattern 10min  Chart Reading'!$D$2=$E35, '2 Data RR corrMAX'!K$148, "")</f>
        <v/>
      </c>
      <c r="Q35" s="263" t="str">
        <f>IF('1 Pattern 10min  Chart Reading'!$D$2=$E35, '2 Data RR corrMAX'!L$148, "")</f>
        <v/>
      </c>
    </row>
    <row r="36" spans="1:32" ht="13.7" customHeight="1" thickBot="1" x14ac:dyDescent="0.3">
      <c r="A36" s="127">
        <f>IF('4 Hourly RR Chart Reading'!G36="","",'4 Hourly RR Chart Reading'!G36)</f>
        <v>0</v>
      </c>
      <c r="B36" s="129" t="str">
        <f>IF(AND('4 Hourly RR Chart Reading'!H36="",'4 Hourly RR Chart Reading'!AE36=""),"",SUM('4 Hourly RR Chart Reading'!H36:AE36))</f>
        <v/>
      </c>
      <c r="C36" s="182" t="str">
        <f t="shared" si="0"/>
        <v/>
      </c>
      <c r="D36" s="186"/>
      <c r="E36" s="183">
        <v>25</v>
      </c>
      <c r="F36" s="189"/>
      <c r="G36" s="190"/>
      <c r="H36" s="240">
        <f t="shared" si="1"/>
        <v>0</v>
      </c>
      <c r="I36" s="263" t="str">
        <f>IF('1 Pattern 10min  Chart Reading'!$D$2=$E36, '2 Data RR corrMAX'!D$148, "")</f>
        <v/>
      </c>
      <c r="J36" s="263" t="str">
        <f>IF('1 Pattern 10min  Chart Reading'!$D$2=$E36, '2 Data RR corrMAX'!E$148, "")</f>
        <v/>
      </c>
      <c r="K36" s="263" t="str">
        <f>IF('1 Pattern 10min  Chart Reading'!$D$2=$E36, '2 Data RR corrMAX'!F$148, "")</f>
        <v/>
      </c>
      <c r="L36" s="263" t="str">
        <f>IF('1 Pattern 10min  Chart Reading'!$D$2=$E36, '2 Data RR corrMAX'!G$148, "")</f>
        <v/>
      </c>
      <c r="M36" s="263" t="str">
        <f>IF('1 Pattern 10min  Chart Reading'!$D$2=$E36, '2 Data RR corrMAX'!H$148, "")</f>
        <v/>
      </c>
      <c r="N36" s="263" t="str">
        <f>IF('1 Pattern 10min  Chart Reading'!$D$2=$E36, '2 Data RR corrMAX'!I$148, "")</f>
        <v/>
      </c>
      <c r="O36" s="263" t="str">
        <f>IF('1 Pattern 10min  Chart Reading'!$D$2=$E36, '2 Data RR corrMAX'!J$148, "")</f>
        <v/>
      </c>
      <c r="P36" s="263" t="str">
        <f>IF('1 Pattern 10min  Chart Reading'!$D$2=$E36, '2 Data RR corrMAX'!K$148, "")</f>
        <v/>
      </c>
      <c r="Q36" s="263" t="str">
        <f>IF('1 Pattern 10min  Chart Reading'!$D$2=$E36, '2 Data RR corrMAX'!L$148, "")</f>
        <v/>
      </c>
    </row>
    <row r="37" spans="1:32" ht="13.7" customHeight="1" thickBot="1" x14ac:dyDescent="0.3">
      <c r="A37" s="127">
        <f>IF('4 Hourly RR Chart Reading'!G37="","",'4 Hourly RR Chart Reading'!G37)</f>
        <v>0</v>
      </c>
      <c r="B37" s="129" t="str">
        <f>IF(AND('4 Hourly RR Chart Reading'!H37="",'4 Hourly RR Chart Reading'!AE37=""),"",SUM('4 Hourly RR Chart Reading'!H37:AE37))</f>
        <v/>
      </c>
      <c r="C37" s="182" t="str">
        <f t="shared" si="0"/>
        <v/>
      </c>
      <c r="D37" s="186"/>
      <c r="E37" s="183">
        <v>26</v>
      </c>
      <c r="F37" s="189"/>
      <c r="G37" s="190"/>
      <c r="H37" s="240">
        <f t="shared" si="1"/>
        <v>0</v>
      </c>
      <c r="I37" s="263" t="str">
        <f>IF('1 Pattern 10min  Chart Reading'!$D$2=$E37, '2 Data RR corrMAX'!D$148, "")</f>
        <v/>
      </c>
      <c r="J37" s="263" t="str">
        <f>IF('1 Pattern 10min  Chart Reading'!$D$2=$E37, '2 Data RR corrMAX'!E$148, "")</f>
        <v/>
      </c>
      <c r="K37" s="263" t="str">
        <f>IF('1 Pattern 10min  Chart Reading'!$D$2=$E37, '2 Data RR corrMAX'!F$148, "")</f>
        <v/>
      </c>
      <c r="L37" s="263" t="str">
        <f>IF('1 Pattern 10min  Chart Reading'!$D$2=$E37, '2 Data RR corrMAX'!G$148, "")</f>
        <v/>
      </c>
      <c r="M37" s="263" t="str">
        <f>IF('1 Pattern 10min  Chart Reading'!$D$2=$E37, '2 Data RR corrMAX'!H$148, "")</f>
        <v/>
      </c>
      <c r="N37" s="263" t="str">
        <f>IF('1 Pattern 10min  Chart Reading'!$D$2=$E37, '2 Data RR corrMAX'!I$148, "")</f>
        <v/>
      </c>
      <c r="O37" s="263" t="str">
        <f>IF('1 Pattern 10min  Chart Reading'!$D$2=$E37, '2 Data RR corrMAX'!J$148, "")</f>
        <v/>
      </c>
      <c r="P37" s="263" t="str">
        <f>IF('1 Pattern 10min  Chart Reading'!$D$2=$E37, '2 Data RR corrMAX'!K$148, "")</f>
        <v/>
      </c>
      <c r="Q37" s="263" t="str">
        <f>IF('1 Pattern 10min  Chart Reading'!$D$2=$E37, '2 Data RR corrMAX'!L$148, "")</f>
        <v/>
      </c>
    </row>
    <row r="38" spans="1:32" ht="13.7" customHeight="1" thickBot="1" x14ac:dyDescent="0.3">
      <c r="A38" s="127">
        <f>IF('4 Hourly RR Chart Reading'!G38="","",'4 Hourly RR Chart Reading'!G38)</f>
        <v>0</v>
      </c>
      <c r="B38" s="129" t="str">
        <f>IF(AND('4 Hourly RR Chart Reading'!H38="",'4 Hourly RR Chart Reading'!AE38=""),"",SUM('4 Hourly RR Chart Reading'!H38:AE38))</f>
        <v/>
      </c>
      <c r="C38" s="182" t="str">
        <f t="shared" si="0"/>
        <v/>
      </c>
      <c r="D38" s="186"/>
      <c r="E38" s="183">
        <v>27</v>
      </c>
      <c r="F38" s="189"/>
      <c r="G38" s="190"/>
      <c r="H38" s="240">
        <f t="shared" si="1"/>
        <v>0</v>
      </c>
      <c r="I38" s="263" t="str">
        <f>IF('1 Pattern 10min  Chart Reading'!$D$2=$E38, '2 Data RR corrMAX'!D$148, "")</f>
        <v/>
      </c>
      <c r="J38" s="263" t="str">
        <f>IF('1 Pattern 10min  Chart Reading'!$D$2=$E38, '2 Data RR corrMAX'!E$148, "")</f>
        <v/>
      </c>
      <c r="K38" s="263" t="str">
        <f>IF('1 Pattern 10min  Chart Reading'!$D$2=$E38, '2 Data RR corrMAX'!F$148, "")</f>
        <v/>
      </c>
      <c r="L38" s="263" t="str">
        <f>IF('1 Pattern 10min  Chart Reading'!$D$2=$E38, '2 Data RR corrMAX'!G$148, "")</f>
        <v/>
      </c>
      <c r="M38" s="263" t="str">
        <f>IF('1 Pattern 10min  Chart Reading'!$D$2=$E38, '2 Data RR corrMAX'!H$148, "")</f>
        <v/>
      </c>
      <c r="N38" s="263" t="str">
        <f>IF('1 Pattern 10min  Chart Reading'!$D$2=$E38, '2 Data RR corrMAX'!I$148, "")</f>
        <v/>
      </c>
      <c r="O38" s="263" t="str">
        <f>IF('1 Pattern 10min  Chart Reading'!$D$2=$E38, '2 Data RR corrMAX'!J$148, "")</f>
        <v/>
      </c>
      <c r="P38" s="263" t="str">
        <f>IF('1 Pattern 10min  Chart Reading'!$D$2=$E38, '2 Data RR corrMAX'!K$148, "")</f>
        <v/>
      </c>
      <c r="Q38" s="263" t="str">
        <f>IF('1 Pattern 10min  Chart Reading'!$D$2=$E38, '2 Data RR corrMAX'!L$148, "")</f>
        <v/>
      </c>
    </row>
    <row r="39" spans="1:32" ht="13.7" customHeight="1" thickBot="1" x14ac:dyDescent="0.3">
      <c r="A39" s="127">
        <f>IF('4 Hourly RR Chart Reading'!G39="","",'4 Hourly RR Chart Reading'!G39)</f>
        <v>0</v>
      </c>
      <c r="B39" s="129" t="str">
        <f>IF(AND('4 Hourly RR Chart Reading'!H39="",'4 Hourly RR Chart Reading'!AE39=""),"",SUM('4 Hourly RR Chart Reading'!H39:AE39))</f>
        <v/>
      </c>
      <c r="C39" s="182" t="str">
        <f t="shared" si="0"/>
        <v/>
      </c>
      <c r="D39" s="186"/>
      <c r="E39" s="183">
        <v>28</v>
      </c>
      <c r="F39" s="189"/>
      <c r="G39" s="190"/>
      <c r="H39" s="240">
        <f t="shared" si="1"/>
        <v>0</v>
      </c>
      <c r="I39" s="263" t="str">
        <f>IF('1 Pattern 10min  Chart Reading'!$D$2=$E39, '2 Data RR corrMAX'!D$148, "")</f>
        <v/>
      </c>
      <c r="J39" s="263" t="str">
        <f>IF('1 Pattern 10min  Chart Reading'!$D$2=$E39, '2 Data RR corrMAX'!E$148, "")</f>
        <v/>
      </c>
      <c r="K39" s="263" t="str">
        <f>IF('1 Pattern 10min  Chart Reading'!$D$2=$E39, '2 Data RR corrMAX'!F$148, "")</f>
        <v/>
      </c>
      <c r="L39" s="263" t="str">
        <f>IF('1 Pattern 10min  Chart Reading'!$D$2=$E39, '2 Data RR corrMAX'!G$148, "")</f>
        <v/>
      </c>
      <c r="M39" s="263" t="str">
        <f>IF('1 Pattern 10min  Chart Reading'!$D$2=$E39, '2 Data RR corrMAX'!H$148, "")</f>
        <v/>
      </c>
      <c r="N39" s="263" t="str">
        <f>IF('1 Pattern 10min  Chart Reading'!$D$2=$E39, '2 Data RR corrMAX'!I$148, "")</f>
        <v/>
      </c>
      <c r="O39" s="263" t="str">
        <f>IF('1 Pattern 10min  Chart Reading'!$D$2=$E39, '2 Data RR corrMAX'!J$148, "")</f>
        <v/>
      </c>
      <c r="P39" s="263" t="str">
        <f>IF('1 Pattern 10min  Chart Reading'!$D$2=$E39, '2 Data RR corrMAX'!K$148, "")</f>
        <v/>
      </c>
      <c r="Q39" s="263" t="str">
        <f>IF('1 Pattern 10min  Chart Reading'!$D$2=$E39, '2 Data RR corrMAX'!L$148, "")</f>
        <v/>
      </c>
    </row>
    <row r="40" spans="1:32" ht="13.7" customHeight="1" thickBot="1" x14ac:dyDescent="0.3">
      <c r="A40" s="127">
        <f>IF('4 Hourly RR Chart Reading'!G40="","",'4 Hourly RR Chart Reading'!G40)</f>
        <v>0</v>
      </c>
      <c r="B40" s="129" t="str">
        <f>IF(AND('4 Hourly RR Chart Reading'!H40="",'4 Hourly RR Chart Reading'!AE40=""),"",SUM('4 Hourly RR Chart Reading'!H40:AE40))</f>
        <v/>
      </c>
      <c r="C40" s="182" t="str">
        <f t="shared" si="0"/>
        <v/>
      </c>
      <c r="D40" s="186"/>
      <c r="E40" s="183">
        <v>29</v>
      </c>
      <c r="F40" s="189"/>
      <c r="G40" s="190"/>
      <c r="H40" s="240">
        <f t="shared" si="1"/>
        <v>0</v>
      </c>
      <c r="I40" s="263" t="str">
        <f>IF('1 Pattern 10min  Chart Reading'!$D$2=$E40, '2 Data RR corrMAX'!D$148, "")</f>
        <v/>
      </c>
      <c r="J40" s="263" t="str">
        <f>IF('1 Pattern 10min  Chart Reading'!$D$2=$E40, '2 Data RR corrMAX'!E$148, "")</f>
        <v/>
      </c>
      <c r="K40" s="263" t="str">
        <f>IF('1 Pattern 10min  Chart Reading'!$D$2=$E40, '2 Data RR corrMAX'!F$148, "")</f>
        <v/>
      </c>
      <c r="L40" s="263" t="str">
        <f>IF('1 Pattern 10min  Chart Reading'!$D$2=$E40, '2 Data RR corrMAX'!G$148, "")</f>
        <v/>
      </c>
      <c r="M40" s="263" t="str">
        <f>IF('1 Pattern 10min  Chart Reading'!$D$2=$E40, '2 Data RR corrMAX'!H$148, "")</f>
        <v/>
      </c>
      <c r="N40" s="263" t="str">
        <f>IF('1 Pattern 10min  Chart Reading'!$D$2=$E40, '2 Data RR corrMAX'!I$148, "")</f>
        <v/>
      </c>
      <c r="O40" s="263" t="str">
        <f>IF('1 Pattern 10min  Chart Reading'!$D$2=$E40, '2 Data RR corrMAX'!J$148, "")</f>
        <v/>
      </c>
      <c r="P40" s="263" t="str">
        <f>IF('1 Pattern 10min  Chart Reading'!$D$2=$E40, '2 Data RR corrMAX'!K$148, "")</f>
        <v/>
      </c>
      <c r="Q40" s="263" t="str">
        <f>IF('1 Pattern 10min  Chart Reading'!$D$2=$E40, '2 Data RR corrMAX'!L$148, "")</f>
        <v/>
      </c>
    </row>
    <row r="41" spans="1:32" ht="13.7" customHeight="1" thickBot="1" x14ac:dyDescent="0.3">
      <c r="A41" s="127">
        <f>IF('4 Hourly RR Chart Reading'!G41="","",'4 Hourly RR Chart Reading'!G41)</f>
        <v>0</v>
      </c>
      <c r="B41" s="129" t="str">
        <f>IF(AND('4 Hourly RR Chart Reading'!H41="",'4 Hourly RR Chart Reading'!AE41=""),"",SUM('4 Hourly RR Chart Reading'!H41:AE41))</f>
        <v/>
      </c>
      <c r="C41" s="182" t="str">
        <f t="shared" si="0"/>
        <v/>
      </c>
      <c r="D41" s="186"/>
      <c r="E41" s="183">
        <v>30</v>
      </c>
      <c r="F41" s="189"/>
      <c r="G41" s="190"/>
      <c r="H41" s="240">
        <f t="shared" si="1"/>
        <v>0</v>
      </c>
      <c r="I41" s="263" t="str">
        <f>IF('1 Pattern 10min  Chart Reading'!$D$2=$E41, '2 Data RR corrMAX'!D$148, "")</f>
        <v/>
      </c>
      <c r="J41" s="263" t="str">
        <f>IF('1 Pattern 10min  Chart Reading'!$D$2=$E41, '2 Data RR corrMAX'!E$148, "")</f>
        <v/>
      </c>
      <c r="K41" s="263" t="str">
        <f>IF('1 Pattern 10min  Chart Reading'!$D$2=$E41, '2 Data RR corrMAX'!F$148, "")</f>
        <v/>
      </c>
      <c r="L41" s="263" t="str">
        <f>IF('1 Pattern 10min  Chart Reading'!$D$2=$E41, '2 Data RR corrMAX'!G$148, "")</f>
        <v/>
      </c>
      <c r="M41" s="263" t="str">
        <f>IF('1 Pattern 10min  Chart Reading'!$D$2=$E41, '2 Data RR corrMAX'!H$148, "")</f>
        <v/>
      </c>
      <c r="N41" s="263" t="str">
        <f>IF('1 Pattern 10min  Chart Reading'!$D$2=$E41, '2 Data RR corrMAX'!I$148, "")</f>
        <v/>
      </c>
      <c r="O41" s="263" t="str">
        <f>IF('1 Pattern 10min  Chart Reading'!$D$2=$E41, '2 Data RR corrMAX'!J$148, "")</f>
        <v/>
      </c>
      <c r="P41" s="263" t="str">
        <f>IF('1 Pattern 10min  Chart Reading'!$D$2=$E41, '2 Data RR corrMAX'!K$148, "")</f>
        <v/>
      </c>
      <c r="Q41" s="263" t="str">
        <f>IF('1 Pattern 10min  Chart Reading'!$D$2=$E41, '2 Data RR corrMAX'!L$148, "")</f>
        <v/>
      </c>
    </row>
    <row r="42" spans="1:32" ht="13.7" customHeight="1" thickBot="1" x14ac:dyDescent="0.3">
      <c r="A42" s="130">
        <f>IF('4 Hourly RR Chart Reading'!G42="","",'4 Hourly RR Chart Reading'!G42)</f>
        <v>0</v>
      </c>
      <c r="B42" s="132" t="str">
        <f>IF(AND('4 Hourly RR Chart Reading'!H42="",'4 Hourly RR Chart Reading'!AE42=""),"",SUM('4 Hourly RR Chart Reading'!H42:AE42))</f>
        <v/>
      </c>
      <c r="C42" s="184" t="str">
        <f t="shared" si="0"/>
        <v/>
      </c>
      <c r="D42" s="191"/>
      <c r="E42" s="185">
        <v>31</v>
      </c>
      <c r="F42" s="192"/>
      <c r="G42" s="193"/>
      <c r="H42" s="242">
        <f t="shared" si="1"/>
        <v>0</v>
      </c>
      <c r="I42" s="263" t="str">
        <f>IF('1 Pattern 10min  Chart Reading'!$D$2=$E42, '2 Data RR corrMAX'!D$148, "")</f>
        <v/>
      </c>
      <c r="J42" s="263" t="str">
        <f>IF('1 Pattern 10min  Chart Reading'!$D$2=$E42, '2 Data RR corrMAX'!E$148, "")</f>
        <v/>
      </c>
      <c r="K42" s="263" t="str">
        <f>IF('1 Pattern 10min  Chart Reading'!$D$2=$E42, '2 Data RR corrMAX'!F$148, "")</f>
        <v/>
      </c>
      <c r="L42" s="263" t="str">
        <f>IF('1 Pattern 10min  Chart Reading'!$D$2=$E42, '2 Data RR corrMAX'!G$148, "")</f>
        <v/>
      </c>
      <c r="M42" s="263" t="str">
        <f>IF('1 Pattern 10min  Chart Reading'!$D$2=$E42, '2 Data RR corrMAX'!H$148, "")</f>
        <v/>
      </c>
      <c r="N42" s="263" t="str">
        <f>IF('1 Pattern 10min  Chart Reading'!$D$2=$E42, '2 Data RR corrMAX'!I$148, "")</f>
        <v/>
      </c>
      <c r="O42" s="263" t="str">
        <f>IF('1 Pattern 10min  Chart Reading'!$D$2=$E42, '2 Data RR corrMAX'!J$148, "")</f>
        <v/>
      </c>
      <c r="P42" s="263" t="str">
        <f>IF('1 Pattern 10min  Chart Reading'!$D$2=$E42, '2 Data RR corrMAX'!K$148, "")</f>
        <v/>
      </c>
      <c r="Q42" s="263" t="str">
        <f>IF('1 Pattern 10min  Chart Reading'!$D$2=$E42, '2 Data RR corrMAX'!L$148, "")</f>
        <v/>
      </c>
    </row>
    <row r="43" spans="1:32" ht="13.7" customHeight="1" thickBot="1" x14ac:dyDescent="0.3">
      <c r="A43" s="230"/>
      <c r="B43" s="230"/>
      <c r="C43" s="231"/>
      <c r="D43" s="232"/>
      <c r="E43" s="295" t="s">
        <v>218</v>
      </c>
      <c r="F43" s="296"/>
      <c r="G43" s="297"/>
      <c r="H43" s="194">
        <f>SUM(H12:H42)</f>
        <v>0</v>
      </c>
      <c r="I43" s="233"/>
      <c r="J43" s="233"/>
      <c r="K43" s="233"/>
      <c r="L43" s="233"/>
      <c r="M43" s="233"/>
      <c r="N43" s="233"/>
      <c r="O43" s="234"/>
      <c r="P43" s="235"/>
      <c r="Q43" s="236"/>
    </row>
    <row r="44" spans="1:32" ht="13.5" customHeight="1" thickBot="1" x14ac:dyDescent="0.3">
      <c r="A44" s="8"/>
      <c r="B44" s="8"/>
      <c r="C44" s="8"/>
      <c r="D44" s="8"/>
      <c r="E44" s="295" t="s">
        <v>22</v>
      </c>
      <c r="F44" s="296"/>
      <c r="G44" s="296"/>
      <c r="H44" s="297"/>
      <c r="I44" s="237">
        <f>MAX(I12:I42)</f>
        <v>0</v>
      </c>
      <c r="J44" s="195">
        <f t="shared" ref="J44:Q44" si="2">MAX(J12:J42)</f>
        <v>0</v>
      </c>
      <c r="K44" s="195">
        <f t="shared" si="2"/>
        <v>0</v>
      </c>
      <c r="L44" s="195">
        <f t="shared" si="2"/>
        <v>0</v>
      </c>
      <c r="M44" s="195">
        <f t="shared" si="2"/>
        <v>0</v>
      </c>
      <c r="N44" s="195">
        <f t="shared" si="2"/>
        <v>0</v>
      </c>
      <c r="O44" s="195">
        <f t="shared" si="2"/>
        <v>0</v>
      </c>
      <c r="P44" s="195">
        <f t="shared" si="2"/>
        <v>0</v>
      </c>
      <c r="Q44" s="196">
        <f t="shared" si="2"/>
        <v>0</v>
      </c>
    </row>
    <row r="45" spans="1:32" ht="12" customHeight="1" x14ac:dyDescent="0.25">
      <c r="A45" s="1"/>
      <c r="B45" s="1"/>
      <c r="C45" s="1"/>
      <c r="D45" s="1"/>
      <c r="E45" s="1"/>
      <c r="F45" s="1"/>
      <c r="G45" s="1"/>
      <c r="I45" s="1"/>
      <c r="J45" s="1"/>
      <c r="K45" s="1"/>
      <c r="L45" s="1"/>
      <c r="M45" s="1"/>
      <c r="N45" s="1"/>
      <c r="O45" s="1"/>
      <c r="P45" s="1"/>
      <c r="Q45" s="1"/>
    </row>
    <row r="46" spans="1:32" ht="12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</row>
    <row r="47" spans="1:32" s="19" customFormat="1" ht="14.45" customHeight="1" x14ac:dyDescent="0.25">
      <c r="A47" s="282" t="s">
        <v>216</v>
      </c>
      <c r="B47" s="282"/>
      <c r="C47" s="306"/>
      <c r="D47" s="306"/>
      <c r="E47" s="306"/>
      <c r="F47" s="10" t="s">
        <v>9</v>
      </c>
      <c r="G47" s="306"/>
      <c r="H47" s="306"/>
      <c r="I47" s="307" t="s">
        <v>47</v>
      </c>
      <c r="J47" s="307"/>
      <c r="K47" s="308"/>
      <c r="L47" s="308"/>
      <c r="M47" s="10" t="s">
        <v>48</v>
      </c>
      <c r="N47" s="246"/>
      <c r="O47" s="1" t="s">
        <v>49</v>
      </c>
      <c r="P47" s="1"/>
      <c r="Q47" s="308"/>
      <c r="R47" s="308"/>
      <c r="S47" s="24" t="s">
        <v>9</v>
      </c>
      <c r="T47" s="250"/>
      <c r="U47" s="1"/>
      <c r="V47" s="18"/>
      <c r="W47" s="18"/>
      <c r="X47" s="304"/>
      <c r="Y47" s="304"/>
      <c r="Z47" s="304"/>
      <c r="AA47" s="1"/>
      <c r="AB47" s="305"/>
      <c r="AC47" s="305"/>
      <c r="AD47" s="305"/>
      <c r="AE47" s="18"/>
      <c r="AF47" s="18"/>
    </row>
    <row r="48" spans="1:3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</row>
  </sheetData>
  <mergeCells count="17">
    <mergeCell ref="I9:Q10"/>
    <mergeCell ref="X47:Z47"/>
    <mergeCell ref="AB47:AD47"/>
    <mergeCell ref="C47:E47"/>
    <mergeCell ref="G47:H47"/>
    <mergeCell ref="I47:J47"/>
    <mergeCell ref="K47:L47"/>
    <mergeCell ref="Q47:R47"/>
    <mergeCell ref="H9:H11"/>
    <mergeCell ref="F9:G10"/>
    <mergeCell ref="A47:B47"/>
    <mergeCell ref="A9:A11"/>
    <mergeCell ref="B9:B11"/>
    <mergeCell ref="C9:C11"/>
    <mergeCell ref="E9:E11"/>
    <mergeCell ref="E44:H44"/>
    <mergeCell ref="E43:G43"/>
  </mergeCells>
  <conditionalFormatting sqref="A12:A43">
    <cfRule type="cellIs" dxfId="21" priority="8" stopIfTrue="1" operator="greaterThan">
      <formula>0</formula>
    </cfRule>
  </conditionalFormatting>
  <conditionalFormatting sqref="C12:C43">
    <cfRule type="cellIs" dxfId="20" priority="4" operator="greaterThan">
      <formula>0</formula>
    </cfRule>
    <cfRule type="cellIs" dxfId="19" priority="9" operator="greaterThan">
      <formula>0</formula>
    </cfRule>
    <cfRule type="cellIs" dxfId="18" priority="10" operator="lessThan">
      <formula>100</formula>
    </cfRule>
    <cfRule type="cellIs" dxfId="17" priority="11" operator="lessThan">
      <formula>0</formula>
    </cfRule>
  </conditionalFormatting>
  <conditionalFormatting sqref="H12:H42">
    <cfRule type="cellIs" dxfId="16" priority="5" operator="greaterThan">
      <formula>0</formula>
    </cfRule>
    <cfRule type="cellIs" priority="6" operator="greaterThan">
      <formula>0</formula>
    </cfRule>
    <cfRule type="cellIs" dxfId="15" priority="7" operator="greaterThan">
      <formula>0</formula>
    </cfRule>
  </conditionalFormatting>
  <conditionalFormatting sqref="I12:Q42">
    <cfRule type="expression" dxfId="14" priority="2">
      <formula>_xlfn.ISFORMULA(I12)</formula>
    </cfRule>
  </conditionalFormatting>
  <printOptions horizontalCentered="1" verticalCentered="1"/>
  <pageMargins left="0.55000000000000004" right="0" top="0" bottom="0" header="0.3" footer="0.3"/>
  <pageSetup paperSize="9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 tint="0.59999389629810485"/>
  </sheetPr>
  <dimension ref="A1:AS79"/>
  <sheetViews>
    <sheetView workbookViewId="0">
      <pane xSplit="1" topLeftCell="B1" activePane="topRight" state="frozen"/>
      <selection activeCell="P21" sqref="P21"/>
      <selection pane="topRight" activeCell="A7" sqref="A7"/>
    </sheetView>
  </sheetViews>
  <sheetFormatPr defaultRowHeight="15" x14ac:dyDescent="0.25"/>
  <cols>
    <col min="1" max="1" width="2.85546875" customWidth="1"/>
    <col min="2" max="2" width="3.42578125" customWidth="1"/>
    <col min="3" max="6" width="5.28515625" customWidth="1"/>
    <col min="7" max="7" width="6.140625" customWidth="1"/>
    <col min="8" max="18" width="5.28515625" customWidth="1"/>
    <col min="19" max="19" width="5.5703125" customWidth="1"/>
    <col min="20" max="22" width="5.28515625" customWidth="1"/>
    <col min="23" max="23" width="5.7109375" customWidth="1"/>
    <col min="24" max="31" width="5.28515625" customWidth="1"/>
    <col min="32" max="32" width="5.28515625" hidden="1" customWidth="1"/>
    <col min="33" max="40" width="9.140625" hidden="1" customWidth="1"/>
    <col min="41" max="41" width="9.140625" customWidth="1"/>
    <col min="42" max="45" width="9.5703125" bestFit="1" customWidth="1"/>
  </cols>
  <sheetData>
    <row r="1" spans="1:45" ht="5.25" customHeight="1" thickBot="1" x14ac:dyDescent="0.3"/>
    <row r="2" spans="1:45" ht="15.75" customHeight="1" x14ac:dyDescent="0.25">
      <c r="A2" s="2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2"/>
      <c r="X2" s="3"/>
      <c r="Y2" s="3"/>
      <c r="Z2" s="3"/>
      <c r="AA2" s="3"/>
      <c r="AB2" s="3"/>
      <c r="AC2" s="3"/>
      <c r="AD2" s="315"/>
      <c r="AE2" s="316"/>
      <c r="AF2" s="10"/>
    </row>
    <row r="3" spans="1:45" ht="12" customHeight="1" x14ac:dyDescent="0.25">
      <c r="A3" s="17" t="s">
        <v>5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9"/>
      <c r="V3" s="18"/>
      <c r="W3" s="20" t="s">
        <v>38</v>
      </c>
      <c r="X3" s="21"/>
      <c r="Y3" s="21" t="s">
        <v>30</v>
      </c>
      <c r="Z3" s="21"/>
      <c r="AA3" s="21"/>
      <c r="AB3" s="21"/>
      <c r="AC3" s="21"/>
      <c r="AD3" s="22"/>
      <c r="AE3" s="23"/>
    </row>
    <row r="4" spans="1:45" ht="12" customHeight="1" x14ac:dyDescent="0.25">
      <c r="A4" s="17" t="s">
        <v>6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24"/>
      <c r="T4" s="18"/>
      <c r="U4" s="18"/>
      <c r="V4" s="18"/>
      <c r="W4" s="20"/>
      <c r="X4" s="333" t="str">
        <f>'3 Corr Monthly RR Max'!N4</f>
        <v>Station</v>
      </c>
      <c r="Y4" s="333"/>
      <c r="Z4" s="333"/>
      <c r="AA4" s="21"/>
      <c r="AB4" s="333" t="str">
        <f>'3 Corr Monthly RR Max'!Q4</f>
        <v/>
      </c>
      <c r="AC4" s="333"/>
      <c r="AD4" s="21"/>
      <c r="AE4" s="25"/>
      <c r="AF4" s="1"/>
    </row>
    <row r="5" spans="1:45" ht="12" customHeight="1" x14ac:dyDescent="0.25">
      <c r="A5" s="17" t="s">
        <v>7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20"/>
      <c r="X5" s="21"/>
      <c r="Y5" s="21"/>
      <c r="Z5" s="21"/>
      <c r="AA5" s="21"/>
      <c r="AB5" s="21"/>
      <c r="AC5" s="21"/>
      <c r="AD5" s="21"/>
      <c r="AE5" s="25"/>
      <c r="AF5" s="1"/>
    </row>
    <row r="6" spans="1:45" ht="5.25" customHeight="1" thickBot="1" x14ac:dyDescent="0.3">
      <c r="A6" s="17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20"/>
      <c r="X6" s="21"/>
      <c r="Y6" s="21"/>
      <c r="Z6" s="21"/>
      <c r="AA6" s="21"/>
      <c r="AB6" s="21"/>
      <c r="AC6" s="21"/>
      <c r="AD6" s="21"/>
      <c r="AE6" s="25"/>
      <c r="AF6" s="1"/>
    </row>
    <row r="7" spans="1:45" ht="14.25" customHeight="1" x14ac:dyDescent="0.25">
      <c r="A7" s="17" t="s">
        <v>379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9"/>
      <c r="V7" s="18"/>
      <c r="W7" s="20" t="s">
        <v>37</v>
      </c>
      <c r="X7" s="333" t="str">
        <f>'1 Pattern 10min  Chart Reading'!C2</f>
        <v>MMM</v>
      </c>
      <c r="Y7" s="333"/>
      <c r="Z7" s="333"/>
      <c r="AA7" s="21"/>
      <c r="AB7" s="333" t="str">
        <f>'3 Corr Monthly RR Max'!Q7</f>
        <v>YYYY</v>
      </c>
      <c r="AC7" s="333"/>
      <c r="AD7" s="26"/>
      <c r="AE7" s="25"/>
      <c r="AF7" s="1"/>
      <c r="AG7" s="340" t="s">
        <v>40</v>
      </c>
      <c r="AH7" s="341"/>
      <c r="AI7" s="341"/>
      <c r="AJ7" s="342"/>
      <c r="AK7" s="309" t="s">
        <v>39</v>
      </c>
      <c r="AL7" s="310"/>
      <c r="AM7" s="310"/>
      <c r="AN7" s="311"/>
    </row>
    <row r="8" spans="1:45" ht="3.75" customHeight="1" thickBot="1" x14ac:dyDescent="0.3">
      <c r="A8" s="4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4"/>
      <c r="X8" s="5"/>
      <c r="Y8" s="5"/>
      <c r="Z8" s="5"/>
      <c r="AA8" s="5"/>
      <c r="AB8" s="5"/>
      <c r="AC8" s="5"/>
      <c r="AD8" s="5"/>
      <c r="AE8" s="6"/>
      <c r="AF8" s="1"/>
      <c r="AG8" s="343"/>
      <c r="AH8" s="344"/>
      <c r="AI8" s="344"/>
      <c r="AJ8" s="345"/>
      <c r="AK8" s="312"/>
      <c r="AL8" s="313"/>
      <c r="AM8" s="313"/>
      <c r="AN8" s="314"/>
    </row>
    <row r="9" spans="1:45" ht="10.5" customHeight="1" x14ac:dyDescent="0.25">
      <c r="A9" s="317" t="s">
        <v>9</v>
      </c>
      <c r="B9" s="320" t="s">
        <v>26</v>
      </c>
      <c r="C9" s="321"/>
      <c r="D9" s="321"/>
      <c r="E9" s="321"/>
      <c r="F9" s="321"/>
      <c r="G9" s="322"/>
      <c r="H9" s="326" t="s">
        <v>32</v>
      </c>
      <c r="I9" s="327"/>
      <c r="J9" s="327"/>
      <c r="K9" s="327"/>
      <c r="L9" s="327"/>
      <c r="M9" s="327"/>
      <c r="N9" s="327"/>
      <c r="O9" s="327"/>
      <c r="P9" s="327"/>
      <c r="Q9" s="327"/>
      <c r="R9" s="327"/>
      <c r="S9" s="327"/>
      <c r="T9" s="327"/>
      <c r="U9" s="327"/>
      <c r="V9" s="327"/>
      <c r="W9" s="327"/>
      <c r="X9" s="327"/>
      <c r="Y9" s="327"/>
      <c r="Z9" s="327"/>
      <c r="AA9" s="327"/>
      <c r="AB9" s="327"/>
      <c r="AC9" s="327"/>
      <c r="AD9" s="327"/>
      <c r="AE9" s="328"/>
      <c r="AF9" s="12"/>
      <c r="AG9" s="343"/>
      <c r="AH9" s="344"/>
      <c r="AI9" s="344"/>
      <c r="AJ9" s="345"/>
      <c r="AK9" s="334" t="s">
        <v>45</v>
      </c>
      <c r="AL9" s="335"/>
      <c r="AM9" s="335"/>
      <c r="AN9" s="336"/>
    </row>
    <row r="10" spans="1:45" ht="9" customHeight="1" thickBot="1" x14ac:dyDescent="0.3">
      <c r="A10" s="318"/>
      <c r="B10" s="323"/>
      <c r="C10" s="324"/>
      <c r="D10" s="324"/>
      <c r="E10" s="324"/>
      <c r="F10" s="324"/>
      <c r="G10" s="325"/>
      <c r="H10" s="329"/>
      <c r="I10" s="330"/>
      <c r="J10" s="330"/>
      <c r="K10" s="330"/>
      <c r="L10" s="330"/>
      <c r="M10" s="330"/>
      <c r="N10" s="330"/>
      <c r="O10" s="330"/>
      <c r="P10" s="330"/>
      <c r="Q10" s="330"/>
      <c r="R10" s="330"/>
      <c r="S10" s="330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331"/>
      <c r="AE10" s="332"/>
      <c r="AF10" s="12"/>
      <c r="AG10" s="346"/>
      <c r="AH10" s="347"/>
      <c r="AI10" s="347"/>
      <c r="AJ10" s="348"/>
      <c r="AK10" s="337"/>
      <c r="AL10" s="338"/>
      <c r="AM10" s="338"/>
      <c r="AN10" s="339"/>
    </row>
    <row r="11" spans="1:45" ht="21.75" customHeight="1" thickBot="1" x14ac:dyDescent="0.3">
      <c r="A11" s="319"/>
      <c r="B11" s="30" t="s">
        <v>33</v>
      </c>
      <c r="C11" s="31">
        <v>0.58333333333333304</v>
      </c>
      <c r="D11" s="32">
        <v>0.83333333333333404</v>
      </c>
      <c r="E11" s="32">
        <v>8.3333333333333301E-2</v>
      </c>
      <c r="F11" s="122">
        <v>0.33333333333333331</v>
      </c>
      <c r="G11" s="107" t="s">
        <v>29</v>
      </c>
      <c r="H11" s="104">
        <v>0.375</v>
      </c>
      <c r="I11" s="105">
        <v>0.41666666666666669</v>
      </c>
      <c r="J11" s="105">
        <v>0.45833333333333398</v>
      </c>
      <c r="K11" s="109" t="s">
        <v>27</v>
      </c>
      <c r="L11" s="105">
        <v>0.54166666666666663</v>
      </c>
      <c r="M11" s="110">
        <v>0.58333333333333304</v>
      </c>
      <c r="N11" s="104">
        <v>0.625</v>
      </c>
      <c r="O11" s="105">
        <v>0.66666666666666696</v>
      </c>
      <c r="P11" s="105">
        <v>0.70833333333333404</v>
      </c>
      <c r="Q11" s="105">
        <v>0.750000000000001</v>
      </c>
      <c r="R11" s="105">
        <v>0.79166666666666796</v>
      </c>
      <c r="S11" s="111">
        <v>0.83333333333333404</v>
      </c>
      <c r="T11" s="104">
        <v>0.875000000000001</v>
      </c>
      <c r="U11" s="105">
        <v>0.91666666666666696</v>
      </c>
      <c r="V11" s="105">
        <v>0.95833333333333404</v>
      </c>
      <c r="W11" s="109" t="s">
        <v>28</v>
      </c>
      <c r="X11" s="105">
        <v>4.1666666666666664E-2</v>
      </c>
      <c r="Y11" s="111">
        <v>8.3333333333333301E-2</v>
      </c>
      <c r="Z11" s="104">
        <v>0.125</v>
      </c>
      <c r="AA11" s="105">
        <v>0.16666666666666699</v>
      </c>
      <c r="AB11" s="105">
        <v>0.20833333333333301</v>
      </c>
      <c r="AC11" s="105">
        <v>0.25</v>
      </c>
      <c r="AD11" s="105">
        <v>0.29166666666666669</v>
      </c>
      <c r="AE11" s="111">
        <v>0.33333333333333331</v>
      </c>
      <c r="AF11" s="9"/>
      <c r="AG11" s="34" t="s">
        <v>41</v>
      </c>
      <c r="AH11" s="35" t="s">
        <v>42</v>
      </c>
      <c r="AI11" s="35" t="s">
        <v>43</v>
      </c>
      <c r="AJ11" s="36" t="s">
        <v>44</v>
      </c>
      <c r="AK11" s="31">
        <v>0.58333333333333304</v>
      </c>
      <c r="AL11" s="32">
        <v>0.83333333333333404</v>
      </c>
      <c r="AM11" s="32">
        <v>8.3333333333333301E-2</v>
      </c>
      <c r="AN11" s="33">
        <v>0.33333333333333331</v>
      </c>
    </row>
    <row r="12" spans="1:45" ht="13.9" customHeight="1" thickBot="1" x14ac:dyDescent="0.3">
      <c r="A12" s="37">
        <v>1</v>
      </c>
      <c r="B12" s="27"/>
      <c r="C12" s="124">
        <f>'1 Pattern 10min  Chart Reading'!AI3</f>
        <v>0</v>
      </c>
      <c r="D12" s="125">
        <f>'1 Pattern 10min  Chart Reading'!AJ3</f>
        <v>0</v>
      </c>
      <c r="E12" s="125">
        <f>'1 Pattern 10min  Chart Reading'!AK3</f>
        <v>0</v>
      </c>
      <c r="F12" s="126">
        <f>'1 Pattern 10min  Chart Reading'!AL3</f>
        <v>0</v>
      </c>
      <c r="G12" s="106">
        <f>SUM(C12:F12)</f>
        <v>0</v>
      </c>
      <c r="H12" s="264" t="str">
        <f>IF('1 Pattern 10min  Chart Reading'!$D$2='4 Hourly RR Chart Reading'!$A12, '1 Pattern 10min  Chart Reading'!F$3, "")</f>
        <v/>
      </c>
      <c r="I12" s="264" t="str">
        <f>IF('1 Pattern 10min  Chart Reading'!$D$2='4 Hourly RR Chart Reading'!$A12, '1 Pattern 10min  Chart Reading'!G$3, "")</f>
        <v/>
      </c>
      <c r="J12" s="264" t="str">
        <f>IF('1 Pattern 10min  Chart Reading'!$D$2='4 Hourly RR Chart Reading'!$A12, '1 Pattern 10min  Chart Reading'!H$3, "")</f>
        <v/>
      </c>
      <c r="K12" s="264" t="str">
        <f>IF('1 Pattern 10min  Chart Reading'!$D$2='4 Hourly RR Chart Reading'!$A12, '1 Pattern 10min  Chart Reading'!I$3, "")</f>
        <v/>
      </c>
      <c r="L12" s="264" t="str">
        <f>IF('1 Pattern 10min  Chart Reading'!$D$2='4 Hourly RR Chart Reading'!$A12, '1 Pattern 10min  Chart Reading'!J$3, "")</f>
        <v/>
      </c>
      <c r="M12" s="264" t="str">
        <f>IF('1 Pattern 10min  Chart Reading'!$D$2='4 Hourly RR Chart Reading'!$A12, '1 Pattern 10min  Chart Reading'!K$3, "")</f>
        <v/>
      </c>
      <c r="N12" s="264" t="str">
        <f>IF('1 Pattern 10min  Chart Reading'!$D$2='4 Hourly RR Chart Reading'!$A12, '1 Pattern 10min  Chart Reading'!L$3, "")</f>
        <v/>
      </c>
      <c r="O12" s="264" t="str">
        <f>IF('1 Pattern 10min  Chart Reading'!$D$2='4 Hourly RR Chart Reading'!$A12, '1 Pattern 10min  Chart Reading'!M$3, "")</f>
        <v/>
      </c>
      <c r="P12" s="264" t="str">
        <f>IF('1 Pattern 10min  Chart Reading'!$D$2='4 Hourly RR Chart Reading'!$A12, '1 Pattern 10min  Chart Reading'!N$3, "")</f>
        <v/>
      </c>
      <c r="Q12" s="264" t="str">
        <f>IF('1 Pattern 10min  Chart Reading'!$D$2='4 Hourly RR Chart Reading'!$A12, '1 Pattern 10min  Chart Reading'!O$3, "")</f>
        <v/>
      </c>
      <c r="R12" s="264" t="str">
        <f>IF('1 Pattern 10min  Chart Reading'!$D$2='4 Hourly RR Chart Reading'!$A12, '1 Pattern 10min  Chart Reading'!P$3, "")</f>
        <v/>
      </c>
      <c r="S12" s="264" t="str">
        <f>IF('1 Pattern 10min  Chart Reading'!$D$2='4 Hourly RR Chart Reading'!$A12, '1 Pattern 10min  Chart Reading'!Q$3, "")</f>
        <v/>
      </c>
      <c r="T12" s="264" t="str">
        <f>IF('1 Pattern 10min  Chart Reading'!$D$2='4 Hourly RR Chart Reading'!$A12, '1 Pattern 10min  Chart Reading'!R$3, "")</f>
        <v/>
      </c>
      <c r="U12" s="264" t="str">
        <f>IF('1 Pattern 10min  Chart Reading'!$D$2='4 Hourly RR Chart Reading'!$A12, '1 Pattern 10min  Chart Reading'!S$3, "")</f>
        <v/>
      </c>
      <c r="V12" s="264" t="str">
        <f>IF('1 Pattern 10min  Chart Reading'!$D$2='4 Hourly RR Chart Reading'!$A12, '1 Pattern 10min  Chart Reading'!T$3, "")</f>
        <v/>
      </c>
      <c r="W12" s="264" t="str">
        <f>IF('1 Pattern 10min  Chart Reading'!$D$2='4 Hourly RR Chart Reading'!$A12, '1 Pattern 10min  Chart Reading'!U$3, "")</f>
        <v/>
      </c>
      <c r="X12" s="264" t="str">
        <f>IF('1 Pattern 10min  Chart Reading'!$D$2='4 Hourly RR Chart Reading'!$A12, '1 Pattern 10min  Chart Reading'!V$3, "")</f>
        <v/>
      </c>
      <c r="Y12" s="264" t="str">
        <f>IF('1 Pattern 10min  Chart Reading'!$D$2='4 Hourly RR Chart Reading'!$A12, '1 Pattern 10min  Chart Reading'!W$3, "")</f>
        <v/>
      </c>
      <c r="Z12" s="264" t="str">
        <f>IF('1 Pattern 10min  Chart Reading'!$D$2='4 Hourly RR Chart Reading'!$A12, '1 Pattern 10min  Chart Reading'!X$3, "")</f>
        <v/>
      </c>
      <c r="AA12" s="264" t="str">
        <f>IF('1 Pattern 10min  Chart Reading'!$D$2='4 Hourly RR Chart Reading'!$A12, '1 Pattern 10min  Chart Reading'!Y$3, "")</f>
        <v/>
      </c>
      <c r="AB12" s="264" t="str">
        <f>IF('1 Pattern 10min  Chart Reading'!$D$2='4 Hourly RR Chart Reading'!$A12, '1 Pattern 10min  Chart Reading'!Z$3, "")</f>
        <v/>
      </c>
      <c r="AC12" s="264" t="str">
        <f>IF('1 Pattern 10min  Chart Reading'!$D$2='4 Hourly RR Chart Reading'!$A12, '1 Pattern 10min  Chart Reading'!AA$3, "")</f>
        <v/>
      </c>
      <c r="AD12" s="264" t="str">
        <f>IF('1 Pattern 10min  Chart Reading'!$D$2='4 Hourly RR Chart Reading'!$A12, '1 Pattern 10min  Chart Reading'!AB$3, "")</f>
        <v/>
      </c>
      <c r="AE12" s="264" t="str">
        <f>IF('1 Pattern 10min  Chart Reading'!$D$2='4 Hourly RR Chart Reading'!$A12, '1 Pattern 10min  Chart Reading'!AC$3, "")</f>
        <v/>
      </c>
      <c r="AF12" s="14"/>
      <c r="AG12" s="133" t="str">
        <f>IF(AND(H12="",M12=""),"",SUM(H12:M12))</f>
        <v/>
      </c>
      <c r="AH12" s="134" t="str">
        <f>IF(AND(N12="",S12=""),"",SUM(N12:S12))</f>
        <v/>
      </c>
      <c r="AI12" s="134" t="str">
        <f>IF(AND(T12="",Y12=""),"",SUM(T12:Y12))</f>
        <v/>
      </c>
      <c r="AJ12" s="135" t="str">
        <f>IF(AND(Z12="",AE12=""),"",SUM(Z12:AE12))</f>
        <v/>
      </c>
      <c r="AK12" s="136" t="str">
        <f>IF(AG12="","",IFERROR(C12/AG12,0))</f>
        <v/>
      </c>
      <c r="AL12" s="137" t="str">
        <f>IF(AH12="","",IFERROR(D12/AH12,0))</f>
        <v/>
      </c>
      <c r="AM12" s="137" t="str">
        <f>IF(AI12="","",IFERROR(E12/AI12,0))</f>
        <v/>
      </c>
      <c r="AN12" s="138" t="str">
        <f>IF(AJ12="","",IFERROR(F12/AJ12,0))</f>
        <v/>
      </c>
      <c r="AO12" s="1"/>
    </row>
    <row r="13" spans="1:45" ht="13.9" customHeight="1" thickBot="1" x14ac:dyDescent="0.3">
      <c r="A13" s="38">
        <v>2</v>
      </c>
      <c r="B13" s="28"/>
      <c r="C13" s="127">
        <f>'1 Pattern 10min  Chart Reading'!AI4</f>
        <v>0</v>
      </c>
      <c r="D13" s="128">
        <f>'1 Pattern 10min  Chart Reading'!AJ4</f>
        <v>0</v>
      </c>
      <c r="E13" s="128">
        <f>'1 Pattern 10min  Chart Reading'!AK4</f>
        <v>0</v>
      </c>
      <c r="F13" s="129">
        <f>'1 Pattern 10min  Chart Reading'!AL4</f>
        <v>0</v>
      </c>
      <c r="G13" s="108">
        <f t="shared" ref="G13:G42" si="0">SUM(C13:F13)</f>
        <v>0</v>
      </c>
      <c r="H13" s="264" t="str">
        <f>IF('1 Pattern 10min  Chart Reading'!$D$2='4 Hourly RR Chart Reading'!$A13, '1 Pattern 10min  Chart Reading'!F$3, "")</f>
        <v/>
      </c>
      <c r="I13" s="264" t="str">
        <f>IF('1 Pattern 10min  Chart Reading'!$D$2='4 Hourly RR Chart Reading'!$A13, '1 Pattern 10min  Chart Reading'!G$3, "")</f>
        <v/>
      </c>
      <c r="J13" s="264" t="str">
        <f>IF('1 Pattern 10min  Chart Reading'!$D$2='4 Hourly RR Chart Reading'!$A13, '1 Pattern 10min  Chart Reading'!H$3, "")</f>
        <v/>
      </c>
      <c r="K13" s="264" t="str">
        <f>IF('1 Pattern 10min  Chart Reading'!$D$2='4 Hourly RR Chart Reading'!$A13, '1 Pattern 10min  Chart Reading'!I$3, "")</f>
        <v/>
      </c>
      <c r="L13" s="264" t="str">
        <f>IF('1 Pattern 10min  Chart Reading'!$D$2='4 Hourly RR Chart Reading'!$A13, '1 Pattern 10min  Chart Reading'!J$3, "")</f>
        <v/>
      </c>
      <c r="M13" s="264" t="str">
        <f>IF('1 Pattern 10min  Chart Reading'!$D$2='4 Hourly RR Chart Reading'!$A13, '1 Pattern 10min  Chart Reading'!K$3, "")</f>
        <v/>
      </c>
      <c r="N13" s="264" t="str">
        <f>IF('1 Pattern 10min  Chart Reading'!$D$2='4 Hourly RR Chart Reading'!$A13, '1 Pattern 10min  Chart Reading'!L$3, "")</f>
        <v/>
      </c>
      <c r="O13" s="264" t="str">
        <f>IF('1 Pattern 10min  Chart Reading'!$D$2='4 Hourly RR Chart Reading'!$A13, '1 Pattern 10min  Chart Reading'!M$3, "")</f>
        <v/>
      </c>
      <c r="P13" s="264" t="str">
        <f>IF('1 Pattern 10min  Chart Reading'!$D$2='4 Hourly RR Chart Reading'!$A13, '1 Pattern 10min  Chart Reading'!N$3, "")</f>
        <v/>
      </c>
      <c r="Q13" s="264" t="str">
        <f>IF('1 Pattern 10min  Chart Reading'!$D$2='4 Hourly RR Chart Reading'!$A13, '1 Pattern 10min  Chart Reading'!O$3, "")</f>
        <v/>
      </c>
      <c r="R13" s="264" t="str">
        <f>IF('1 Pattern 10min  Chart Reading'!$D$2='4 Hourly RR Chart Reading'!$A13, '1 Pattern 10min  Chart Reading'!P$3, "")</f>
        <v/>
      </c>
      <c r="S13" s="264" t="str">
        <f>IF('1 Pattern 10min  Chart Reading'!$D$2='4 Hourly RR Chart Reading'!$A13, '1 Pattern 10min  Chart Reading'!Q$3, "")</f>
        <v/>
      </c>
      <c r="T13" s="264" t="str">
        <f>IF('1 Pattern 10min  Chart Reading'!$D$2='4 Hourly RR Chart Reading'!$A13, '1 Pattern 10min  Chart Reading'!R$3, "")</f>
        <v/>
      </c>
      <c r="U13" s="264" t="str">
        <f>IF('1 Pattern 10min  Chart Reading'!$D$2='4 Hourly RR Chart Reading'!$A13, '1 Pattern 10min  Chart Reading'!S$3, "")</f>
        <v/>
      </c>
      <c r="V13" s="264" t="str">
        <f>IF('1 Pattern 10min  Chart Reading'!$D$2='4 Hourly RR Chart Reading'!$A13, '1 Pattern 10min  Chart Reading'!T$3, "")</f>
        <v/>
      </c>
      <c r="W13" s="264" t="str">
        <f>IF('1 Pattern 10min  Chart Reading'!$D$2='4 Hourly RR Chart Reading'!$A13, '1 Pattern 10min  Chart Reading'!U$3, "")</f>
        <v/>
      </c>
      <c r="X13" s="264" t="str">
        <f>IF('1 Pattern 10min  Chart Reading'!$D$2='4 Hourly RR Chart Reading'!$A13, '1 Pattern 10min  Chart Reading'!V$3, "")</f>
        <v/>
      </c>
      <c r="Y13" s="264" t="str">
        <f>IF('1 Pattern 10min  Chart Reading'!$D$2='4 Hourly RR Chart Reading'!$A13, '1 Pattern 10min  Chart Reading'!W$3, "")</f>
        <v/>
      </c>
      <c r="Z13" s="264" t="str">
        <f>IF('1 Pattern 10min  Chart Reading'!$D$2='4 Hourly RR Chart Reading'!$A13, '1 Pattern 10min  Chart Reading'!X$3, "")</f>
        <v/>
      </c>
      <c r="AA13" s="264" t="str">
        <f>IF('1 Pattern 10min  Chart Reading'!$D$2='4 Hourly RR Chart Reading'!$A13, '1 Pattern 10min  Chart Reading'!Y$3, "")</f>
        <v/>
      </c>
      <c r="AB13" s="264" t="str">
        <f>IF('1 Pattern 10min  Chart Reading'!$D$2='4 Hourly RR Chart Reading'!$A13, '1 Pattern 10min  Chart Reading'!Z$3, "")</f>
        <v/>
      </c>
      <c r="AC13" s="264" t="str">
        <f>IF('1 Pattern 10min  Chart Reading'!$D$2='4 Hourly RR Chart Reading'!$A13, '1 Pattern 10min  Chart Reading'!AA$3, "")</f>
        <v/>
      </c>
      <c r="AD13" s="264" t="str">
        <f>IF('1 Pattern 10min  Chart Reading'!$D$2='4 Hourly RR Chart Reading'!$A13, '1 Pattern 10min  Chart Reading'!AB$3, "")</f>
        <v/>
      </c>
      <c r="AE13" s="264" t="str">
        <f>IF('1 Pattern 10min  Chart Reading'!$D$2='4 Hourly RR Chart Reading'!$A13, '1 Pattern 10min  Chart Reading'!AC$3, "")</f>
        <v/>
      </c>
      <c r="AF13" s="15"/>
      <c r="AG13" s="139" t="str">
        <f>IF(AND(H13="",M13=""),"",SUM(H13:M13))</f>
        <v/>
      </c>
      <c r="AH13" s="140" t="str">
        <f>IF(AND(N13="",S13=""),"",SUM(N13:S13))</f>
        <v/>
      </c>
      <c r="AI13" s="140" t="str">
        <f>IF(AND(T13="",Y13=""),"",SUM(T13:Y13))</f>
        <v/>
      </c>
      <c r="AJ13" s="141" t="str">
        <f>IF(AND(Z13="",AE13=""),"",SUM(Z13:AE13))</f>
        <v/>
      </c>
      <c r="AK13" s="142" t="str">
        <f t="shared" ref="AK13:AK42" si="1">IF(AG13="","",IFERROR(C13/AG13,0))</f>
        <v/>
      </c>
      <c r="AL13" s="143" t="str">
        <f t="shared" ref="AL13:AL42" si="2">IF(AH13="","",IFERROR(D13/AH13,0))</f>
        <v/>
      </c>
      <c r="AM13" s="143" t="str">
        <f t="shared" ref="AM13:AM42" si="3">IF(AI13="","",IFERROR(E13/AI13,0))</f>
        <v/>
      </c>
      <c r="AN13" s="144" t="str">
        <f t="shared" ref="AN13:AN42" si="4">IF(AJ13="","",IFERROR(F13/AJ13,0))</f>
        <v/>
      </c>
      <c r="AO13" s="11"/>
    </row>
    <row r="14" spans="1:45" ht="13.9" customHeight="1" thickBot="1" x14ac:dyDescent="0.3">
      <c r="A14" s="38">
        <v>3</v>
      </c>
      <c r="B14" s="28"/>
      <c r="C14" s="127">
        <f>'1 Pattern 10min  Chart Reading'!AI5</f>
        <v>0</v>
      </c>
      <c r="D14" s="128">
        <f>'1 Pattern 10min  Chart Reading'!AJ5</f>
        <v>0</v>
      </c>
      <c r="E14" s="128">
        <f>'1 Pattern 10min  Chart Reading'!AK5</f>
        <v>0</v>
      </c>
      <c r="F14" s="129">
        <f>'1 Pattern 10min  Chart Reading'!AL5</f>
        <v>0</v>
      </c>
      <c r="G14" s="108">
        <f t="shared" si="0"/>
        <v>0</v>
      </c>
      <c r="H14" s="264" t="str">
        <f>IF('1 Pattern 10min  Chart Reading'!$D$2='4 Hourly RR Chart Reading'!$A14, '1 Pattern 10min  Chart Reading'!F$3, "")</f>
        <v/>
      </c>
      <c r="I14" s="264" t="str">
        <f>IF('1 Pattern 10min  Chart Reading'!$D$2='4 Hourly RR Chart Reading'!$A14, '1 Pattern 10min  Chart Reading'!G$3, "")</f>
        <v/>
      </c>
      <c r="J14" s="264" t="str">
        <f>IF('1 Pattern 10min  Chart Reading'!$D$2='4 Hourly RR Chart Reading'!$A14, '1 Pattern 10min  Chart Reading'!H$3, "")</f>
        <v/>
      </c>
      <c r="K14" s="264" t="str">
        <f>IF('1 Pattern 10min  Chart Reading'!$D$2='4 Hourly RR Chart Reading'!$A14, '1 Pattern 10min  Chart Reading'!I$3, "")</f>
        <v/>
      </c>
      <c r="L14" s="264" t="str">
        <f>IF('1 Pattern 10min  Chart Reading'!$D$2='4 Hourly RR Chart Reading'!$A14, '1 Pattern 10min  Chart Reading'!J$3, "")</f>
        <v/>
      </c>
      <c r="M14" s="264" t="str">
        <f>IF('1 Pattern 10min  Chart Reading'!$D$2='4 Hourly RR Chart Reading'!$A14, '1 Pattern 10min  Chart Reading'!K$3, "")</f>
        <v/>
      </c>
      <c r="N14" s="264" t="str">
        <f>IF('1 Pattern 10min  Chart Reading'!$D$2='4 Hourly RR Chart Reading'!$A14, '1 Pattern 10min  Chart Reading'!L$3, "")</f>
        <v/>
      </c>
      <c r="O14" s="264" t="str">
        <f>IF('1 Pattern 10min  Chart Reading'!$D$2='4 Hourly RR Chart Reading'!$A14, '1 Pattern 10min  Chart Reading'!M$3, "")</f>
        <v/>
      </c>
      <c r="P14" s="264" t="str">
        <f>IF('1 Pattern 10min  Chart Reading'!$D$2='4 Hourly RR Chart Reading'!$A14, '1 Pattern 10min  Chart Reading'!N$3, "")</f>
        <v/>
      </c>
      <c r="Q14" s="264" t="str">
        <f>IF('1 Pattern 10min  Chart Reading'!$D$2='4 Hourly RR Chart Reading'!$A14, '1 Pattern 10min  Chart Reading'!O$3, "")</f>
        <v/>
      </c>
      <c r="R14" s="264" t="str">
        <f>IF('1 Pattern 10min  Chart Reading'!$D$2='4 Hourly RR Chart Reading'!$A14, '1 Pattern 10min  Chart Reading'!P$3, "")</f>
        <v/>
      </c>
      <c r="S14" s="264" t="str">
        <f>IF('1 Pattern 10min  Chart Reading'!$D$2='4 Hourly RR Chart Reading'!$A14, '1 Pattern 10min  Chart Reading'!Q$3, "")</f>
        <v/>
      </c>
      <c r="T14" s="264" t="str">
        <f>IF('1 Pattern 10min  Chart Reading'!$D$2='4 Hourly RR Chart Reading'!$A14, '1 Pattern 10min  Chart Reading'!R$3, "")</f>
        <v/>
      </c>
      <c r="U14" s="264" t="str">
        <f>IF('1 Pattern 10min  Chart Reading'!$D$2='4 Hourly RR Chart Reading'!$A14, '1 Pattern 10min  Chart Reading'!S$3, "")</f>
        <v/>
      </c>
      <c r="V14" s="264" t="str">
        <f>IF('1 Pattern 10min  Chart Reading'!$D$2='4 Hourly RR Chart Reading'!$A14, '1 Pattern 10min  Chart Reading'!T$3, "")</f>
        <v/>
      </c>
      <c r="W14" s="264" t="str">
        <f>IF('1 Pattern 10min  Chart Reading'!$D$2='4 Hourly RR Chart Reading'!$A14, '1 Pattern 10min  Chart Reading'!U$3, "")</f>
        <v/>
      </c>
      <c r="X14" s="264" t="str">
        <f>IF('1 Pattern 10min  Chart Reading'!$D$2='4 Hourly RR Chart Reading'!$A14, '1 Pattern 10min  Chart Reading'!V$3, "")</f>
        <v/>
      </c>
      <c r="Y14" s="264" t="str">
        <f>IF('1 Pattern 10min  Chart Reading'!$D$2='4 Hourly RR Chart Reading'!$A14, '1 Pattern 10min  Chart Reading'!W$3, "")</f>
        <v/>
      </c>
      <c r="Z14" s="264" t="str">
        <f>IF('1 Pattern 10min  Chart Reading'!$D$2='4 Hourly RR Chart Reading'!$A14, '1 Pattern 10min  Chart Reading'!X$3, "")</f>
        <v/>
      </c>
      <c r="AA14" s="264" t="str">
        <f>IF('1 Pattern 10min  Chart Reading'!$D$2='4 Hourly RR Chart Reading'!$A14, '1 Pattern 10min  Chart Reading'!Y$3, "")</f>
        <v/>
      </c>
      <c r="AB14" s="264" t="str">
        <f>IF('1 Pattern 10min  Chart Reading'!$D$2='4 Hourly RR Chart Reading'!$A14, '1 Pattern 10min  Chart Reading'!Z$3, "")</f>
        <v/>
      </c>
      <c r="AC14" s="264" t="str">
        <f>IF('1 Pattern 10min  Chart Reading'!$D$2='4 Hourly RR Chart Reading'!$A14, '1 Pattern 10min  Chart Reading'!AA$3, "")</f>
        <v/>
      </c>
      <c r="AD14" s="264" t="str">
        <f>IF('1 Pattern 10min  Chart Reading'!$D$2='4 Hourly RR Chart Reading'!$A14, '1 Pattern 10min  Chart Reading'!AB$3, "")</f>
        <v/>
      </c>
      <c r="AE14" s="264" t="str">
        <f>IF('1 Pattern 10min  Chart Reading'!$D$2='4 Hourly RR Chart Reading'!$A14, '1 Pattern 10min  Chart Reading'!AC$3, "")</f>
        <v/>
      </c>
      <c r="AF14" s="16"/>
      <c r="AG14" s="139" t="str">
        <f t="shared" ref="AG14:AG41" si="5">IF(AND(H14="",M14=""),"",SUM(H14:M14))</f>
        <v/>
      </c>
      <c r="AH14" s="140" t="str">
        <f t="shared" ref="AH14:AH41" si="6">IF(AND(N14="",S14=""),"",SUM(N14:S14))</f>
        <v/>
      </c>
      <c r="AI14" s="140" t="str">
        <f t="shared" ref="AI14:AI41" si="7">IF(AND(T14="",Y14=""),"",SUM(T14:Y14))</f>
        <v/>
      </c>
      <c r="AJ14" s="141" t="str">
        <f t="shared" ref="AJ14:AJ41" si="8">IF(AND(Z14="",AE14=""),"",SUM(Z14:AE14))</f>
        <v/>
      </c>
      <c r="AK14" s="142" t="str">
        <f t="shared" si="1"/>
        <v/>
      </c>
      <c r="AL14" s="143" t="str">
        <f t="shared" si="2"/>
        <v/>
      </c>
      <c r="AM14" s="143" t="str">
        <f t="shared" si="3"/>
        <v/>
      </c>
      <c r="AN14" s="144" t="str">
        <f t="shared" si="4"/>
        <v/>
      </c>
      <c r="AO14" s="11"/>
    </row>
    <row r="15" spans="1:45" ht="13.9" customHeight="1" thickBot="1" x14ac:dyDescent="0.3">
      <c r="A15" s="38">
        <v>4</v>
      </c>
      <c r="B15" s="28"/>
      <c r="C15" s="127">
        <f>'1 Pattern 10min  Chart Reading'!AI6</f>
        <v>0</v>
      </c>
      <c r="D15" s="128">
        <f>'1 Pattern 10min  Chart Reading'!AJ6</f>
        <v>0</v>
      </c>
      <c r="E15" s="128">
        <f>'1 Pattern 10min  Chart Reading'!AK6</f>
        <v>0</v>
      </c>
      <c r="F15" s="129">
        <f>'1 Pattern 10min  Chart Reading'!AL6</f>
        <v>0</v>
      </c>
      <c r="G15" s="108">
        <f t="shared" si="0"/>
        <v>0</v>
      </c>
      <c r="H15" s="264" t="str">
        <f>IF('1 Pattern 10min  Chart Reading'!$D$2='4 Hourly RR Chart Reading'!$A15, '1 Pattern 10min  Chart Reading'!F$3, "")</f>
        <v/>
      </c>
      <c r="I15" s="264" t="str">
        <f>IF('1 Pattern 10min  Chart Reading'!$D$2='4 Hourly RR Chart Reading'!$A15, '1 Pattern 10min  Chart Reading'!G$3, "")</f>
        <v/>
      </c>
      <c r="J15" s="264" t="str">
        <f>IF('1 Pattern 10min  Chart Reading'!$D$2='4 Hourly RR Chart Reading'!$A15, '1 Pattern 10min  Chart Reading'!H$3, "")</f>
        <v/>
      </c>
      <c r="K15" s="264" t="str">
        <f>IF('1 Pattern 10min  Chart Reading'!$D$2='4 Hourly RR Chart Reading'!$A15, '1 Pattern 10min  Chart Reading'!I$3, "")</f>
        <v/>
      </c>
      <c r="L15" s="264" t="str">
        <f>IF('1 Pattern 10min  Chart Reading'!$D$2='4 Hourly RR Chart Reading'!$A15, '1 Pattern 10min  Chart Reading'!J$3, "")</f>
        <v/>
      </c>
      <c r="M15" s="264" t="str">
        <f>IF('1 Pattern 10min  Chart Reading'!$D$2='4 Hourly RR Chart Reading'!$A15, '1 Pattern 10min  Chart Reading'!K$3, "")</f>
        <v/>
      </c>
      <c r="N15" s="264" t="str">
        <f>IF('1 Pattern 10min  Chart Reading'!$D$2='4 Hourly RR Chart Reading'!$A15, '1 Pattern 10min  Chart Reading'!L$3, "")</f>
        <v/>
      </c>
      <c r="O15" s="264" t="str">
        <f>IF('1 Pattern 10min  Chart Reading'!$D$2='4 Hourly RR Chart Reading'!$A15, '1 Pattern 10min  Chart Reading'!M$3, "")</f>
        <v/>
      </c>
      <c r="P15" s="264" t="str">
        <f>IF('1 Pattern 10min  Chart Reading'!$D$2='4 Hourly RR Chart Reading'!$A15, '1 Pattern 10min  Chart Reading'!N$3, "")</f>
        <v/>
      </c>
      <c r="Q15" s="264" t="str">
        <f>IF('1 Pattern 10min  Chart Reading'!$D$2='4 Hourly RR Chart Reading'!$A15, '1 Pattern 10min  Chart Reading'!O$3, "")</f>
        <v/>
      </c>
      <c r="R15" s="264" t="str">
        <f>IF('1 Pattern 10min  Chart Reading'!$D$2='4 Hourly RR Chart Reading'!$A15, '1 Pattern 10min  Chart Reading'!P$3, "")</f>
        <v/>
      </c>
      <c r="S15" s="264" t="str">
        <f>IF('1 Pattern 10min  Chart Reading'!$D$2='4 Hourly RR Chart Reading'!$A15, '1 Pattern 10min  Chart Reading'!Q$3, "")</f>
        <v/>
      </c>
      <c r="T15" s="264" t="str">
        <f>IF('1 Pattern 10min  Chart Reading'!$D$2='4 Hourly RR Chart Reading'!$A15, '1 Pattern 10min  Chart Reading'!R$3, "")</f>
        <v/>
      </c>
      <c r="U15" s="264" t="str">
        <f>IF('1 Pattern 10min  Chart Reading'!$D$2='4 Hourly RR Chart Reading'!$A15, '1 Pattern 10min  Chart Reading'!S$3, "")</f>
        <v/>
      </c>
      <c r="V15" s="264" t="str">
        <f>IF('1 Pattern 10min  Chart Reading'!$D$2='4 Hourly RR Chart Reading'!$A15, '1 Pattern 10min  Chart Reading'!T$3, "")</f>
        <v/>
      </c>
      <c r="W15" s="264" t="str">
        <f>IF('1 Pattern 10min  Chart Reading'!$D$2='4 Hourly RR Chart Reading'!$A15, '1 Pattern 10min  Chart Reading'!U$3, "")</f>
        <v/>
      </c>
      <c r="X15" s="264" t="str">
        <f>IF('1 Pattern 10min  Chart Reading'!$D$2='4 Hourly RR Chart Reading'!$A15, '1 Pattern 10min  Chart Reading'!V$3, "")</f>
        <v/>
      </c>
      <c r="Y15" s="264" t="str">
        <f>IF('1 Pattern 10min  Chart Reading'!$D$2='4 Hourly RR Chart Reading'!$A15, '1 Pattern 10min  Chart Reading'!W$3, "")</f>
        <v/>
      </c>
      <c r="Z15" s="264" t="str">
        <f>IF('1 Pattern 10min  Chart Reading'!$D$2='4 Hourly RR Chart Reading'!$A15, '1 Pattern 10min  Chart Reading'!X$3, "")</f>
        <v/>
      </c>
      <c r="AA15" s="264" t="str">
        <f>IF('1 Pattern 10min  Chart Reading'!$D$2='4 Hourly RR Chart Reading'!$A15, '1 Pattern 10min  Chart Reading'!Y$3, "")</f>
        <v/>
      </c>
      <c r="AB15" s="264" t="str">
        <f>IF('1 Pattern 10min  Chart Reading'!$D$2='4 Hourly RR Chart Reading'!$A15, '1 Pattern 10min  Chart Reading'!Z$3, "")</f>
        <v/>
      </c>
      <c r="AC15" s="264" t="str">
        <f>IF('1 Pattern 10min  Chart Reading'!$D$2='4 Hourly RR Chart Reading'!$A15, '1 Pattern 10min  Chart Reading'!AA$3, "")</f>
        <v/>
      </c>
      <c r="AD15" s="264" t="str">
        <f>IF('1 Pattern 10min  Chart Reading'!$D$2='4 Hourly RR Chart Reading'!$A15, '1 Pattern 10min  Chart Reading'!AB$3, "")</f>
        <v/>
      </c>
      <c r="AE15" s="264" t="str">
        <f>IF('1 Pattern 10min  Chart Reading'!$D$2='4 Hourly RR Chart Reading'!$A15, '1 Pattern 10min  Chart Reading'!AC$3, "")</f>
        <v/>
      </c>
      <c r="AF15" s="15"/>
      <c r="AG15" s="139" t="str">
        <f t="shared" si="5"/>
        <v/>
      </c>
      <c r="AH15" s="140" t="str">
        <f t="shared" si="6"/>
        <v/>
      </c>
      <c r="AI15" s="140" t="str">
        <f t="shared" si="7"/>
        <v/>
      </c>
      <c r="AJ15" s="141" t="str">
        <f t="shared" si="8"/>
        <v/>
      </c>
      <c r="AK15" s="142" t="str">
        <f t="shared" si="1"/>
        <v/>
      </c>
      <c r="AL15" s="143" t="str">
        <f t="shared" si="2"/>
        <v/>
      </c>
      <c r="AM15" s="143" t="str">
        <f t="shared" si="3"/>
        <v/>
      </c>
      <c r="AN15" s="144" t="str">
        <f t="shared" si="4"/>
        <v/>
      </c>
      <c r="AO15" s="11"/>
      <c r="AP15" s="40"/>
      <c r="AQ15" s="40"/>
      <c r="AR15" s="40"/>
      <c r="AS15" s="40"/>
    </row>
    <row r="16" spans="1:45" ht="13.9" customHeight="1" thickBot="1" x14ac:dyDescent="0.3">
      <c r="A16" s="38">
        <v>5</v>
      </c>
      <c r="B16" s="28"/>
      <c r="C16" s="127">
        <f>'1 Pattern 10min  Chart Reading'!AI7</f>
        <v>0</v>
      </c>
      <c r="D16" s="128">
        <f>'1 Pattern 10min  Chart Reading'!AJ7</f>
        <v>0</v>
      </c>
      <c r="E16" s="128">
        <f>'1 Pattern 10min  Chart Reading'!AK7</f>
        <v>0</v>
      </c>
      <c r="F16" s="129">
        <f>'1 Pattern 10min  Chart Reading'!AL7</f>
        <v>0</v>
      </c>
      <c r="G16" s="108">
        <f t="shared" si="0"/>
        <v>0</v>
      </c>
      <c r="H16" s="264" t="str">
        <f>IF('1 Pattern 10min  Chart Reading'!$D$2='4 Hourly RR Chart Reading'!$A16, '1 Pattern 10min  Chart Reading'!F$3, "")</f>
        <v/>
      </c>
      <c r="I16" s="264" t="str">
        <f>IF('1 Pattern 10min  Chart Reading'!$D$2='4 Hourly RR Chart Reading'!$A16, '1 Pattern 10min  Chart Reading'!G$3, "")</f>
        <v/>
      </c>
      <c r="J16" s="264" t="str">
        <f>IF('1 Pattern 10min  Chart Reading'!$D$2='4 Hourly RR Chart Reading'!$A16, '1 Pattern 10min  Chart Reading'!H$3, "")</f>
        <v/>
      </c>
      <c r="K16" s="264" t="str">
        <f>IF('1 Pattern 10min  Chart Reading'!$D$2='4 Hourly RR Chart Reading'!$A16, '1 Pattern 10min  Chart Reading'!I$3, "")</f>
        <v/>
      </c>
      <c r="L16" s="264" t="str">
        <f>IF('1 Pattern 10min  Chart Reading'!$D$2='4 Hourly RR Chart Reading'!$A16, '1 Pattern 10min  Chart Reading'!J$3, "")</f>
        <v/>
      </c>
      <c r="M16" s="264" t="str">
        <f>IF('1 Pattern 10min  Chart Reading'!$D$2='4 Hourly RR Chart Reading'!$A16, '1 Pattern 10min  Chart Reading'!K$3, "")</f>
        <v/>
      </c>
      <c r="N16" s="264" t="str">
        <f>IF('1 Pattern 10min  Chart Reading'!$D$2='4 Hourly RR Chart Reading'!$A16, '1 Pattern 10min  Chart Reading'!L$3, "")</f>
        <v/>
      </c>
      <c r="O16" s="264" t="str">
        <f>IF('1 Pattern 10min  Chart Reading'!$D$2='4 Hourly RR Chart Reading'!$A16, '1 Pattern 10min  Chart Reading'!M$3, "")</f>
        <v/>
      </c>
      <c r="P16" s="264" t="str">
        <f>IF('1 Pattern 10min  Chart Reading'!$D$2='4 Hourly RR Chart Reading'!$A16, '1 Pattern 10min  Chart Reading'!N$3, "")</f>
        <v/>
      </c>
      <c r="Q16" s="264" t="str">
        <f>IF('1 Pattern 10min  Chart Reading'!$D$2='4 Hourly RR Chart Reading'!$A16, '1 Pattern 10min  Chart Reading'!O$3, "")</f>
        <v/>
      </c>
      <c r="R16" s="264" t="str">
        <f>IF('1 Pattern 10min  Chart Reading'!$D$2='4 Hourly RR Chart Reading'!$A16, '1 Pattern 10min  Chart Reading'!P$3, "")</f>
        <v/>
      </c>
      <c r="S16" s="264" t="str">
        <f>IF('1 Pattern 10min  Chart Reading'!$D$2='4 Hourly RR Chart Reading'!$A16, '1 Pattern 10min  Chart Reading'!Q$3, "")</f>
        <v/>
      </c>
      <c r="T16" s="264" t="str">
        <f>IF('1 Pattern 10min  Chart Reading'!$D$2='4 Hourly RR Chart Reading'!$A16, '1 Pattern 10min  Chart Reading'!R$3, "")</f>
        <v/>
      </c>
      <c r="U16" s="264" t="str">
        <f>IF('1 Pattern 10min  Chart Reading'!$D$2='4 Hourly RR Chart Reading'!$A16, '1 Pattern 10min  Chart Reading'!S$3, "")</f>
        <v/>
      </c>
      <c r="V16" s="264" t="str">
        <f>IF('1 Pattern 10min  Chart Reading'!$D$2='4 Hourly RR Chart Reading'!$A16, '1 Pattern 10min  Chart Reading'!T$3, "")</f>
        <v/>
      </c>
      <c r="W16" s="264" t="str">
        <f>IF('1 Pattern 10min  Chart Reading'!$D$2='4 Hourly RR Chart Reading'!$A16, '1 Pattern 10min  Chart Reading'!U$3, "")</f>
        <v/>
      </c>
      <c r="X16" s="264" t="str">
        <f>IF('1 Pattern 10min  Chart Reading'!$D$2='4 Hourly RR Chart Reading'!$A16, '1 Pattern 10min  Chart Reading'!V$3, "")</f>
        <v/>
      </c>
      <c r="Y16" s="264" t="str">
        <f>IF('1 Pattern 10min  Chart Reading'!$D$2='4 Hourly RR Chart Reading'!$A16, '1 Pattern 10min  Chart Reading'!W$3, "")</f>
        <v/>
      </c>
      <c r="Z16" s="264" t="str">
        <f>IF('1 Pattern 10min  Chart Reading'!$D$2='4 Hourly RR Chart Reading'!$A16, '1 Pattern 10min  Chart Reading'!X$3, "")</f>
        <v/>
      </c>
      <c r="AA16" s="264" t="str">
        <f>IF('1 Pattern 10min  Chart Reading'!$D$2='4 Hourly RR Chart Reading'!$A16, '1 Pattern 10min  Chart Reading'!Y$3, "")</f>
        <v/>
      </c>
      <c r="AB16" s="264" t="str">
        <f>IF('1 Pattern 10min  Chart Reading'!$D$2='4 Hourly RR Chart Reading'!$A16, '1 Pattern 10min  Chart Reading'!Z$3, "")</f>
        <v/>
      </c>
      <c r="AC16" s="264" t="str">
        <f>IF('1 Pattern 10min  Chart Reading'!$D$2='4 Hourly RR Chart Reading'!$A16, '1 Pattern 10min  Chart Reading'!AA$3, "")</f>
        <v/>
      </c>
      <c r="AD16" s="264" t="str">
        <f>IF('1 Pattern 10min  Chart Reading'!$D$2='4 Hourly RR Chart Reading'!$A16, '1 Pattern 10min  Chart Reading'!AB$3, "")</f>
        <v/>
      </c>
      <c r="AE16" s="264" t="str">
        <f>IF('1 Pattern 10min  Chart Reading'!$D$2='4 Hourly RR Chart Reading'!$A16, '1 Pattern 10min  Chart Reading'!AC$3, "")</f>
        <v/>
      </c>
      <c r="AF16" s="15"/>
      <c r="AG16" s="139" t="str">
        <f t="shared" si="5"/>
        <v/>
      </c>
      <c r="AH16" s="140" t="str">
        <f t="shared" si="6"/>
        <v/>
      </c>
      <c r="AI16" s="140" t="str">
        <f t="shared" si="7"/>
        <v/>
      </c>
      <c r="AJ16" s="141" t="str">
        <f t="shared" si="8"/>
        <v/>
      </c>
      <c r="AK16" s="142" t="str">
        <f t="shared" si="1"/>
        <v/>
      </c>
      <c r="AL16" s="143" t="str">
        <f t="shared" si="2"/>
        <v/>
      </c>
      <c r="AM16" s="143" t="str">
        <f t="shared" si="3"/>
        <v/>
      </c>
      <c r="AN16" s="144" t="str">
        <f t="shared" si="4"/>
        <v/>
      </c>
      <c r="AO16" s="11"/>
      <c r="AP16" s="40"/>
      <c r="AQ16" s="40"/>
      <c r="AR16" s="40"/>
      <c r="AS16" s="40"/>
    </row>
    <row r="17" spans="1:45" ht="13.9" customHeight="1" thickBot="1" x14ac:dyDescent="0.3">
      <c r="A17" s="38">
        <v>6</v>
      </c>
      <c r="B17" s="28"/>
      <c r="C17" s="127">
        <f>'1 Pattern 10min  Chart Reading'!AI8</f>
        <v>0</v>
      </c>
      <c r="D17" s="128">
        <f>'1 Pattern 10min  Chart Reading'!AJ8</f>
        <v>0</v>
      </c>
      <c r="E17" s="128">
        <f>'1 Pattern 10min  Chart Reading'!AK8</f>
        <v>0</v>
      </c>
      <c r="F17" s="129">
        <f>'1 Pattern 10min  Chart Reading'!AL8</f>
        <v>0</v>
      </c>
      <c r="G17" s="108">
        <f t="shared" si="0"/>
        <v>0</v>
      </c>
      <c r="H17" s="264" t="str">
        <f>IF('1 Pattern 10min  Chart Reading'!$D$2='4 Hourly RR Chart Reading'!$A17, '1 Pattern 10min  Chart Reading'!F$3, "")</f>
        <v/>
      </c>
      <c r="I17" s="264" t="str">
        <f>IF('1 Pattern 10min  Chart Reading'!$D$2='4 Hourly RR Chart Reading'!$A17, '1 Pattern 10min  Chart Reading'!G$3, "")</f>
        <v/>
      </c>
      <c r="J17" s="264" t="str">
        <f>IF('1 Pattern 10min  Chart Reading'!$D$2='4 Hourly RR Chart Reading'!$A17, '1 Pattern 10min  Chart Reading'!H$3, "")</f>
        <v/>
      </c>
      <c r="K17" s="264" t="str">
        <f>IF('1 Pattern 10min  Chart Reading'!$D$2='4 Hourly RR Chart Reading'!$A17, '1 Pattern 10min  Chart Reading'!I$3, "")</f>
        <v/>
      </c>
      <c r="L17" s="264" t="str">
        <f>IF('1 Pattern 10min  Chart Reading'!$D$2='4 Hourly RR Chart Reading'!$A17, '1 Pattern 10min  Chart Reading'!J$3, "")</f>
        <v/>
      </c>
      <c r="M17" s="264" t="str">
        <f>IF('1 Pattern 10min  Chart Reading'!$D$2='4 Hourly RR Chart Reading'!$A17, '1 Pattern 10min  Chart Reading'!K$3, "")</f>
        <v/>
      </c>
      <c r="N17" s="264" t="str">
        <f>IF('1 Pattern 10min  Chart Reading'!$D$2='4 Hourly RR Chart Reading'!$A17, '1 Pattern 10min  Chart Reading'!L$3, "")</f>
        <v/>
      </c>
      <c r="O17" s="264" t="str">
        <f>IF('1 Pattern 10min  Chart Reading'!$D$2='4 Hourly RR Chart Reading'!$A17, '1 Pattern 10min  Chart Reading'!M$3, "")</f>
        <v/>
      </c>
      <c r="P17" s="264" t="str">
        <f>IF('1 Pattern 10min  Chart Reading'!$D$2='4 Hourly RR Chart Reading'!$A17, '1 Pattern 10min  Chart Reading'!N$3, "")</f>
        <v/>
      </c>
      <c r="Q17" s="264" t="str">
        <f>IF('1 Pattern 10min  Chart Reading'!$D$2='4 Hourly RR Chart Reading'!$A17, '1 Pattern 10min  Chart Reading'!O$3, "")</f>
        <v/>
      </c>
      <c r="R17" s="264" t="str">
        <f>IF('1 Pattern 10min  Chart Reading'!$D$2='4 Hourly RR Chart Reading'!$A17, '1 Pattern 10min  Chart Reading'!P$3, "")</f>
        <v/>
      </c>
      <c r="S17" s="264" t="str">
        <f>IF('1 Pattern 10min  Chart Reading'!$D$2='4 Hourly RR Chart Reading'!$A17, '1 Pattern 10min  Chart Reading'!Q$3, "")</f>
        <v/>
      </c>
      <c r="T17" s="264" t="str">
        <f>IF('1 Pattern 10min  Chart Reading'!$D$2='4 Hourly RR Chart Reading'!$A17, '1 Pattern 10min  Chart Reading'!R$3, "")</f>
        <v/>
      </c>
      <c r="U17" s="264" t="str">
        <f>IF('1 Pattern 10min  Chart Reading'!$D$2='4 Hourly RR Chart Reading'!$A17, '1 Pattern 10min  Chart Reading'!S$3, "")</f>
        <v/>
      </c>
      <c r="V17" s="264" t="str">
        <f>IF('1 Pattern 10min  Chart Reading'!$D$2='4 Hourly RR Chart Reading'!$A17, '1 Pattern 10min  Chart Reading'!T$3, "")</f>
        <v/>
      </c>
      <c r="W17" s="264" t="str">
        <f>IF('1 Pattern 10min  Chart Reading'!$D$2='4 Hourly RR Chart Reading'!$A17, '1 Pattern 10min  Chart Reading'!U$3, "")</f>
        <v/>
      </c>
      <c r="X17" s="264" t="str">
        <f>IF('1 Pattern 10min  Chart Reading'!$D$2='4 Hourly RR Chart Reading'!$A17, '1 Pattern 10min  Chart Reading'!V$3, "")</f>
        <v/>
      </c>
      <c r="Y17" s="264" t="str">
        <f>IF('1 Pattern 10min  Chart Reading'!$D$2='4 Hourly RR Chart Reading'!$A17, '1 Pattern 10min  Chart Reading'!W$3, "")</f>
        <v/>
      </c>
      <c r="Z17" s="264" t="str">
        <f>IF('1 Pattern 10min  Chart Reading'!$D$2='4 Hourly RR Chart Reading'!$A17, '1 Pattern 10min  Chart Reading'!X$3, "")</f>
        <v/>
      </c>
      <c r="AA17" s="264" t="str">
        <f>IF('1 Pattern 10min  Chart Reading'!$D$2='4 Hourly RR Chart Reading'!$A17, '1 Pattern 10min  Chart Reading'!Y$3, "")</f>
        <v/>
      </c>
      <c r="AB17" s="264" t="str">
        <f>IF('1 Pattern 10min  Chart Reading'!$D$2='4 Hourly RR Chart Reading'!$A17, '1 Pattern 10min  Chart Reading'!Z$3, "")</f>
        <v/>
      </c>
      <c r="AC17" s="264" t="str">
        <f>IF('1 Pattern 10min  Chart Reading'!$D$2='4 Hourly RR Chart Reading'!$A17, '1 Pattern 10min  Chart Reading'!AA$3, "")</f>
        <v/>
      </c>
      <c r="AD17" s="264" t="str">
        <f>IF('1 Pattern 10min  Chart Reading'!$D$2='4 Hourly RR Chart Reading'!$A17, '1 Pattern 10min  Chart Reading'!AB$3, "")</f>
        <v/>
      </c>
      <c r="AE17" s="264" t="str">
        <f>IF('1 Pattern 10min  Chart Reading'!$D$2='4 Hourly RR Chart Reading'!$A17, '1 Pattern 10min  Chart Reading'!AC$3, "")</f>
        <v/>
      </c>
      <c r="AF17" s="14"/>
      <c r="AG17" s="139" t="str">
        <f t="shared" si="5"/>
        <v/>
      </c>
      <c r="AH17" s="140" t="str">
        <f t="shared" si="6"/>
        <v/>
      </c>
      <c r="AI17" s="140" t="str">
        <f t="shared" si="7"/>
        <v/>
      </c>
      <c r="AJ17" s="141" t="str">
        <f t="shared" si="8"/>
        <v/>
      </c>
      <c r="AK17" s="142" t="str">
        <f>IF(AG17="","",IFERROR(C17/AG17,0))</f>
        <v/>
      </c>
      <c r="AL17" s="143" t="str">
        <f t="shared" si="2"/>
        <v/>
      </c>
      <c r="AM17" s="143" t="str">
        <f t="shared" si="3"/>
        <v/>
      </c>
      <c r="AN17" s="144" t="str">
        <f t="shared" si="4"/>
        <v/>
      </c>
      <c r="AO17" s="11"/>
      <c r="AP17" s="40"/>
      <c r="AQ17" s="41"/>
      <c r="AR17" s="40"/>
      <c r="AS17" s="41"/>
    </row>
    <row r="18" spans="1:45" ht="13.9" customHeight="1" thickBot="1" x14ac:dyDescent="0.3">
      <c r="A18" s="38">
        <v>7</v>
      </c>
      <c r="B18" s="28"/>
      <c r="C18" s="127">
        <f>'1 Pattern 10min  Chart Reading'!AI9</f>
        <v>0</v>
      </c>
      <c r="D18" s="128">
        <f>'1 Pattern 10min  Chart Reading'!AJ9</f>
        <v>0</v>
      </c>
      <c r="E18" s="128">
        <f>'1 Pattern 10min  Chart Reading'!AK9</f>
        <v>0</v>
      </c>
      <c r="F18" s="129">
        <f>'1 Pattern 10min  Chart Reading'!AL9</f>
        <v>0</v>
      </c>
      <c r="G18" s="108">
        <f t="shared" si="0"/>
        <v>0</v>
      </c>
      <c r="H18" s="264" t="str">
        <f>IF('1 Pattern 10min  Chart Reading'!$D$2='4 Hourly RR Chart Reading'!$A18, '1 Pattern 10min  Chart Reading'!F$3, "")</f>
        <v/>
      </c>
      <c r="I18" s="264" t="str">
        <f>IF('1 Pattern 10min  Chart Reading'!$D$2='4 Hourly RR Chart Reading'!$A18, '1 Pattern 10min  Chart Reading'!G$3, "")</f>
        <v/>
      </c>
      <c r="J18" s="264" t="str">
        <f>IF('1 Pattern 10min  Chart Reading'!$D$2='4 Hourly RR Chart Reading'!$A18, '1 Pattern 10min  Chart Reading'!H$3, "")</f>
        <v/>
      </c>
      <c r="K18" s="264" t="str">
        <f>IF('1 Pattern 10min  Chart Reading'!$D$2='4 Hourly RR Chart Reading'!$A18, '1 Pattern 10min  Chart Reading'!I$3, "")</f>
        <v/>
      </c>
      <c r="L18" s="264" t="str">
        <f>IF('1 Pattern 10min  Chart Reading'!$D$2='4 Hourly RR Chart Reading'!$A18, '1 Pattern 10min  Chart Reading'!J$3, "")</f>
        <v/>
      </c>
      <c r="M18" s="264" t="str">
        <f>IF('1 Pattern 10min  Chart Reading'!$D$2='4 Hourly RR Chart Reading'!$A18, '1 Pattern 10min  Chart Reading'!K$3, "")</f>
        <v/>
      </c>
      <c r="N18" s="264" t="str">
        <f>IF('1 Pattern 10min  Chart Reading'!$D$2='4 Hourly RR Chart Reading'!$A18, '1 Pattern 10min  Chart Reading'!L$3, "")</f>
        <v/>
      </c>
      <c r="O18" s="264" t="str">
        <f>IF('1 Pattern 10min  Chart Reading'!$D$2='4 Hourly RR Chart Reading'!$A18, '1 Pattern 10min  Chart Reading'!M$3, "")</f>
        <v/>
      </c>
      <c r="P18" s="264" t="str">
        <f>IF('1 Pattern 10min  Chart Reading'!$D$2='4 Hourly RR Chart Reading'!$A18, '1 Pattern 10min  Chart Reading'!N$3, "")</f>
        <v/>
      </c>
      <c r="Q18" s="264" t="str">
        <f>IF('1 Pattern 10min  Chart Reading'!$D$2='4 Hourly RR Chart Reading'!$A18, '1 Pattern 10min  Chart Reading'!O$3, "")</f>
        <v/>
      </c>
      <c r="R18" s="264" t="str">
        <f>IF('1 Pattern 10min  Chart Reading'!$D$2='4 Hourly RR Chart Reading'!$A18, '1 Pattern 10min  Chart Reading'!P$3, "")</f>
        <v/>
      </c>
      <c r="S18" s="264" t="str">
        <f>IF('1 Pattern 10min  Chart Reading'!$D$2='4 Hourly RR Chart Reading'!$A18, '1 Pattern 10min  Chart Reading'!Q$3, "")</f>
        <v/>
      </c>
      <c r="T18" s="264" t="str">
        <f>IF('1 Pattern 10min  Chart Reading'!$D$2='4 Hourly RR Chart Reading'!$A18, '1 Pattern 10min  Chart Reading'!R$3, "")</f>
        <v/>
      </c>
      <c r="U18" s="264" t="str">
        <f>IF('1 Pattern 10min  Chart Reading'!$D$2='4 Hourly RR Chart Reading'!$A18, '1 Pattern 10min  Chart Reading'!S$3, "")</f>
        <v/>
      </c>
      <c r="V18" s="264" t="str">
        <f>IF('1 Pattern 10min  Chart Reading'!$D$2='4 Hourly RR Chart Reading'!$A18, '1 Pattern 10min  Chart Reading'!T$3, "")</f>
        <v/>
      </c>
      <c r="W18" s="264" t="str">
        <f>IF('1 Pattern 10min  Chart Reading'!$D$2='4 Hourly RR Chart Reading'!$A18, '1 Pattern 10min  Chart Reading'!U$3, "")</f>
        <v/>
      </c>
      <c r="X18" s="264" t="str">
        <f>IF('1 Pattern 10min  Chart Reading'!$D$2='4 Hourly RR Chart Reading'!$A18, '1 Pattern 10min  Chart Reading'!V$3, "")</f>
        <v/>
      </c>
      <c r="Y18" s="264" t="str">
        <f>IF('1 Pattern 10min  Chart Reading'!$D$2='4 Hourly RR Chart Reading'!$A18, '1 Pattern 10min  Chart Reading'!W$3, "")</f>
        <v/>
      </c>
      <c r="Z18" s="264" t="str">
        <f>IF('1 Pattern 10min  Chart Reading'!$D$2='4 Hourly RR Chart Reading'!$A18, '1 Pattern 10min  Chart Reading'!X$3, "")</f>
        <v/>
      </c>
      <c r="AA18" s="264" t="str">
        <f>IF('1 Pattern 10min  Chart Reading'!$D$2='4 Hourly RR Chart Reading'!$A18, '1 Pattern 10min  Chart Reading'!Y$3, "")</f>
        <v/>
      </c>
      <c r="AB18" s="264" t="str">
        <f>IF('1 Pattern 10min  Chart Reading'!$D$2='4 Hourly RR Chart Reading'!$A18, '1 Pattern 10min  Chart Reading'!Z$3, "")</f>
        <v/>
      </c>
      <c r="AC18" s="264" t="str">
        <f>IF('1 Pattern 10min  Chart Reading'!$D$2='4 Hourly RR Chart Reading'!$A18, '1 Pattern 10min  Chart Reading'!AA$3, "")</f>
        <v/>
      </c>
      <c r="AD18" s="264" t="str">
        <f>IF('1 Pattern 10min  Chart Reading'!$D$2='4 Hourly RR Chart Reading'!$A18, '1 Pattern 10min  Chart Reading'!AB$3, "")</f>
        <v/>
      </c>
      <c r="AE18" s="264" t="str">
        <f>IF('1 Pattern 10min  Chart Reading'!$D$2='4 Hourly RR Chart Reading'!$A18, '1 Pattern 10min  Chart Reading'!AC$3, "")</f>
        <v/>
      </c>
      <c r="AF18" s="14"/>
      <c r="AG18" s="139" t="str">
        <f t="shared" si="5"/>
        <v/>
      </c>
      <c r="AH18" s="140" t="str">
        <f t="shared" si="6"/>
        <v/>
      </c>
      <c r="AI18" s="140" t="str">
        <f t="shared" si="7"/>
        <v/>
      </c>
      <c r="AJ18" s="141" t="str">
        <f t="shared" si="8"/>
        <v/>
      </c>
      <c r="AK18" s="142" t="str">
        <f t="shared" si="1"/>
        <v/>
      </c>
      <c r="AL18" s="143" t="str">
        <f t="shared" si="2"/>
        <v/>
      </c>
      <c r="AM18" s="143" t="str">
        <f t="shared" si="3"/>
        <v/>
      </c>
      <c r="AN18" s="144" t="str">
        <f t="shared" si="4"/>
        <v/>
      </c>
      <c r="AO18" s="11"/>
      <c r="AP18" s="40"/>
      <c r="AQ18" s="40"/>
      <c r="AR18" s="40"/>
      <c r="AS18" s="40"/>
    </row>
    <row r="19" spans="1:45" ht="13.9" customHeight="1" thickBot="1" x14ac:dyDescent="0.3">
      <c r="A19" s="38">
        <v>8</v>
      </c>
      <c r="B19" s="28"/>
      <c r="C19" s="127">
        <f>'1 Pattern 10min  Chart Reading'!AI10</f>
        <v>0</v>
      </c>
      <c r="D19" s="128">
        <f>'1 Pattern 10min  Chart Reading'!AJ10</f>
        <v>0</v>
      </c>
      <c r="E19" s="128">
        <f>'1 Pattern 10min  Chart Reading'!AK10</f>
        <v>0</v>
      </c>
      <c r="F19" s="129">
        <f>'1 Pattern 10min  Chart Reading'!AL10</f>
        <v>0</v>
      </c>
      <c r="G19" s="108">
        <f t="shared" si="0"/>
        <v>0</v>
      </c>
      <c r="H19" s="264" t="str">
        <f>IF('1 Pattern 10min  Chart Reading'!$D$2='4 Hourly RR Chart Reading'!$A19, '1 Pattern 10min  Chart Reading'!F$3, "")</f>
        <v/>
      </c>
      <c r="I19" s="264" t="str">
        <f>IF('1 Pattern 10min  Chart Reading'!$D$2='4 Hourly RR Chart Reading'!$A19, '1 Pattern 10min  Chart Reading'!G$3, "")</f>
        <v/>
      </c>
      <c r="J19" s="264" t="str">
        <f>IF('1 Pattern 10min  Chart Reading'!$D$2='4 Hourly RR Chart Reading'!$A19, '1 Pattern 10min  Chart Reading'!H$3, "")</f>
        <v/>
      </c>
      <c r="K19" s="264" t="str">
        <f>IF('1 Pattern 10min  Chart Reading'!$D$2='4 Hourly RR Chart Reading'!$A19, '1 Pattern 10min  Chart Reading'!I$3, "")</f>
        <v/>
      </c>
      <c r="L19" s="264" t="str">
        <f>IF('1 Pattern 10min  Chart Reading'!$D$2='4 Hourly RR Chart Reading'!$A19, '1 Pattern 10min  Chart Reading'!J$3, "")</f>
        <v/>
      </c>
      <c r="M19" s="264" t="str">
        <f>IF('1 Pattern 10min  Chart Reading'!$D$2='4 Hourly RR Chart Reading'!$A19, '1 Pattern 10min  Chart Reading'!K$3, "")</f>
        <v/>
      </c>
      <c r="N19" s="264" t="str">
        <f>IF('1 Pattern 10min  Chart Reading'!$D$2='4 Hourly RR Chart Reading'!$A19, '1 Pattern 10min  Chart Reading'!L$3, "")</f>
        <v/>
      </c>
      <c r="O19" s="264" t="str">
        <f>IF('1 Pattern 10min  Chart Reading'!$D$2='4 Hourly RR Chart Reading'!$A19, '1 Pattern 10min  Chart Reading'!M$3, "")</f>
        <v/>
      </c>
      <c r="P19" s="264" t="str">
        <f>IF('1 Pattern 10min  Chart Reading'!$D$2='4 Hourly RR Chart Reading'!$A19, '1 Pattern 10min  Chart Reading'!N$3, "")</f>
        <v/>
      </c>
      <c r="Q19" s="264" t="str">
        <f>IF('1 Pattern 10min  Chart Reading'!$D$2='4 Hourly RR Chart Reading'!$A19, '1 Pattern 10min  Chart Reading'!O$3, "")</f>
        <v/>
      </c>
      <c r="R19" s="264" t="str">
        <f>IF('1 Pattern 10min  Chart Reading'!$D$2='4 Hourly RR Chart Reading'!$A19, '1 Pattern 10min  Chart Reading'!P$3, "")</f>
        <v/>
      </c>
      <c r="S19" s="264" t="str">
        <f>IF('1 Pattern 10min  Chart Reading'!$D$2='4 Hourly RR Chart Reading'!$A19, '1 Pattern 10min  Chart Reading'!Q$3, "")</f>
        <v/>
      </c>
      <c r="T19" s="264" t="str">
        <f>IF('1 Pattern 10min  Chart Reading'!$D$2='4 Hourly RR Chart Reading'!$A19, '1 Pattern 10min  Chart Reading'!R$3, "")</f>
        <v/>
      </c>
      <c r="U19" s="264" t="str">
        <f>IF('1 Pattern 10min  Chart Reading'!$D$2='4 Hourly RR Chart Reading'!$A19, '1 Pattern 10min  Chart Reading'!S$3, "")</f>
        <v/>
      </c>
      <c r="V19" s="264" t="str">
        <f>IF('1 Pattern 10min  Chart Reading'!$D$2='4 Hourly RR Chart Reading'!$A19, '1 Pattern 10min  Chart Reading'!T$3, "")</f>
        <v/>
      </c>
      <c r="W19" s="264" t="str">
        <f>IF('1 Pattern 10min  Chart Reading'!$D$2='4 Hourly RR Chart Reading'!$A19, '1 Pattern 10min  Chart Reading'!U$3, "")</f>
        <v/>
      </c>
      <c r="X19" s="264" t="str">
        <f>IF('1 Pattern 10min  Chart Reading'!$D$2='4 Hourly RR Chart Reading'!$A19, '1 Pattern 10min  Chart Reading'!V$3, "")</f>
        <v/>
      </c>
      <c r="Y19" s="264" t="str">
        <f>IF('1 Pattern 10min  Chart Reading'!$D$2='4 Hourly RR Chart Reading'!$A19, '1 Pattern 10min  Chart Reading'!W$3, "")</f>
        <v/>
      </c>
      <c r="Z19" s="264" t="str">
        <f>IF('1 Pattern 10min  Chart Reading'!$D$2='4 Hourly RR Chart Reading'!$A19, '1 Pattern 10min  Chart Reading'!X$3, "")</f>
        <v/>
      </c>
      <c r="AA19" s="264" t="str">
        <f>IF('1 Pattern 10min  Chart Reading'!$D$2='4 Hourly RR Chart Reading'!$A19, '1 Pattern 10min  Chart Reading'!Y$3, "")</f>
        <v/>
      </c>
      <c r="AB19" s="264" t="str">
        <f>IF('1 Pattern 10min  Chart Reading'!$D$2='4 Hourly RR Chart Reading'!$A19, '1 Pattern 10min  Chart Reading'!Z$3, "")</f>
        <v/>
      </c>
      <c r="AC19" s="264" t="str">
        <f>IF('1 Pattern 10min  Chart Reading'!$D$2='4 Hourly RR Chart Reading'!$A19, '1 Pattern 10min  Chart Reading'!AA$3, "")</f>
        <v/>
      </c>
      <c r="AD19" s="264" t="str">
        <f>IF('1 Pattern 10min  Chart Reading'!$D$2='4 Hourly RR Chart Reading'!$A19, '1 Pattern 10min  Chart Reading'!AB$3, "")</f>
        <v/>
      </c>
      <c r="AE19" s="264" t="str">
        <f>IF('1 Pattern 10min  Chart Reading'!$D$2='4 Hourly RR Chart Reading'!$A19, '1 Pattern 10min  Chart Reading'!AC$3, "")</f>
        <v/>
      </c>
      <c r="AF19" s="15"/>
      <c r="AG19" s="139" t="str">
        <f t="shared" si="5"/>
        <v/>
      </c>
      <c r="AH19" s="140" t="str">
        <f t="shared" si="6"/>
        <v/>
      </c>
      <c r="AI19" s="140" t="str">
        <f t="shared" si="7"/>
        <v/>
      </c>
      <c r="AJ19" s="141" t="str">
        <f t="shared" si="8"/>
        <v/>
      </c>
      <c r="AK19" s="142" t="str">
        <f t="shared" si="1"/>
        <v/>
      </c>
      <c r="AL19" s="143" t="str">
        <f t="shared" si="2"/>
        <v/>
      </c>
      <c r="AM19" s="143" t="str">
        <f t="shared" si="3"/>
        <v/>
      </c>
      <c r="AN19" s="144" t="str">
        <f t="shared" si="4"/>
        <v/>
      </c>
      <c r="AO19" s="11"/>
      <c r="AP19" s="40"/>
      <c r="AQ19" s="40"/>
      <c r="AR19" s="40"/>
      <c r="AS19" s="40"/>
    </row>
    <row r="20" spans="1:45" ht="13.9" customHeight="1" thickBot="1" x14ac:dyDescent="0.3">
      <c r="A20" s="38">
        <v>9</v>
      </c>
      <c r="B20" s="28"/>
      <c r="C20" s="127">
        <f>'1 Pattern 10min  Chart Reading'!AI11</f>
        <v>0</v>
      </c>
      <c r="D20" s="128">
        <f>'1 Pattern 10min  Chart Reading'!AJ11</f>
        <v>0</v>
      </c>
      <c r="E20" s="128">
        <f>'1 Pattern 10min  Chart Reading'!AK11</f>
        <v>0</v>
      </c>
      <c r="F20" s="129">
        <f>'1 Pattern 10min  Chart Reading'!AL11</f>
        <v>0</v>
      </c>
      <c r="G20" s="108">
        <f t="shared" si="0"/>
        <v>0</v>
      </c>
      <c r="H20" s="264" t="str">
        <f>IF('1 Pattern 10min  Chart Reading'!$D$2='4 Hourly RR Chart Reading'!$A20, '1 Pattern 10min  Chart Reading'!F$3, "")</f>
        <v/>
      </c>
      <c r="I20" s="264" t="str">
        <f>IF('1 Pattern 10min  Chart Reading'!$D$2='4 Hourly RR Chart Reading'!$A20, '1 Pattern 10min  Chart Reading'!G$3, "")</f>
        <v/>
      </c>
      <c r="J20" s="264" t="str">
        <f>IF('1 Pattern 10min  Chart Reading'!$D$2='4 Hourly RR Chart Reading'!$A20, '1 Pattern 10min  Chart Reading'!H$3, "")</f>
        <v/>
      </c>
      <c r="K20" s="264" t="str">
        <f>IF('1 Pattern 10min  Chart Reading'!$D$2='4 Hourly RR Chart Reading'!$A20, '1 Pattern 10min  Chart Reading'!I$3, "")</f>
        <v/>
      </c>
      <c r="L20" s="264" t="str">
        <f>IF('1 Pattern 10min  Chart Reading'!$D$2='4 Hourly RR Chart Reading'!$A20, '1 Pattern 10min  Chart Reading'!J$3, "")</f>
        <v/>
      </c>
      <c r="M20" s="264" t="str">
        <f>IF('1 Pattern 10min  Chart Reading'!$D$2='4 Hourly RR Chart Reading'!$A20, '1 Pattern 10min  Chart Reading'!K$3, "")</f>
        <v/>
      </c>
      <c r="N20" s="264" t="str">
        <f>IF('1 Pattern 10min  Chart Reading'!$D$2='4 Hourly RR Chart Reading'!$A20, '1 Pattern 10min  Chart Reading'!L$3, "")</f>
        <v/>
      </c>
      <c r="O20" s="264" t="str">
        <f>IF('1 Pattern 10min  Chart Reading'!$D$2='4 Hourly RR Chart Reading'!$A20, '1 Pattern 10min  Chart Reading'!M$3, "")</f>
        <v/>
      </c>
      <c r="P20" s="264" t="str">
        <f>IF('1 Pattern 10min  Chart Reading'!$D$2='4 Hourly RR Chart Reading'!$A20, '1 Pattern 10min  Chart Reading'!N$3, "")</f>
        <v/>
      </c>
      <c r="Q20" s="264" t="str">
        <f>IF('1 Pattern 10min  Chart Reading'!$D$2='4 Hourly RR Chart Reading'!$A20, '1 Pattern 10min  Chart Reading'!O$3, "")</f>
        <v/>
      </c>
      <c r="R20" s="264" t="str">
        <f>IF('1 Pattern 10min  Chart Reading'!$D$2='4 Hourly RR Chart Reading'!$A20, '1 Pattern 10min  Chart Reading'!P$3, "")</f>
        <v/>
      </c>
      <c r="S20" s="264" t="str">
        <f>IF('1 Pattern 10min  Chart Reading'!$D$2='4 Hourly RR Chart Reading'!$A20, '1 Pattern 10min  Chart Reading'!Q$3, "")</f>
        <v/>
      </c>
      <c r="T20" s="264" t="str">
        <f>IF('1 Pattern 10min  Chart Reading'!$D$2='4 Hourly RR Chart Reading'!$A20, '1 Pattern 10min  Chart Reading'!R$3, "")</f>
        <v/>
      </c>
      <c r="U20" s="264" t="str">
        <f>IF('1 Pattern 10min  Chart Reading'!$D$2='4 Hourly RR Chart Reading'!$A20, '1 Pattern 10min  Chart Reading'!S$3, "")</f>
        <v/>
      </c>
      <c r="V20" s="264" t="str">
        <f>IF('1 Pattern 10min  Chart Reading'!$D$2='4 Hourly RR Chart Reading'!$A20, '1 Pattern 10min  Chart Reading'!T$3, "")</f>
        <v/>
      </c>
      <c r="W20" s="264" t="str">
        <f>IF('1 Pattern 10min  Chart Reading'!$D$2='4 Hourly RR Chart Reading'!$A20, '1 Pattern 10min  Chart Reading'!U$3, "")</f>
        <v/>
      </c>
      <c r="X20" s="264" t="str">
        <f>IF('1 Pattern 10min  Chart Reading'!$D$2='4 Hourly RR Chart Reading'!$A20, '1 Pattern 10min  Chart Reading'!V$3, "")</f>
        <v/>
      </c>
      <c r="Y20" s="264" t="str">
        <f>IF('1 Pattern 10min  Chart Reading'!$D$2='4 Hourly RR Chart Reading'!$A20, '1 Pattern 10min  Chart Reading'!W$3, "")</f>
        <v/>
      </c>
      <c r="Z20" s="264" t="str">
        <f>IF('1 Pattern 10min  Chart Reading'!$D$2='4 Hourly RR Chart Reading'!$A20, '1 Pattern 10min  Chart Reading'!X$3, "")</f>
        <v/>
      </c>
      <c r="AA20" s="264" t="str">
        <f>IF('1 Pattern 10min  Chart Reading'!$D$2='4 Hourly RR Chart Reading'!$A20, '1 Pattern 10min  Chart Reading'!Y$3, "")</f>
        <v/>
      </c>
      <c r="AB20" s="264" t="str">
        <f>IF('1 Pattern 10min  Chart Reading'!$D$2='4 Hourly RR Chart Reading'!$A20, '1 Pattern 10min  Chart Reading'!Z$3, "")</f>
        <v/>
      </c>
      <c r="AC20" s="264" t="str">
        <f>IF('1 Pattern 10min  Chart Reading'!$D$2='4 Hourly RR Chart Reading'!$A20, '1 Pattern 10min  Chart Reading'!AA$3, "")</f>
        <v/>
      </c>
      <c r="AD20" s="264" t="str">
        <f>IF('1 Pattern 10min  Chart Reading'!$D$2='4 Hourly RR Chart Reading'!$A20, '1 Pattern 10min  Chart Reading'!AB$3, "")</f>
        <v/>
      </c>
      <c r="AE20" s="264" t="str">
        <f>IF('1 Pattern 10min  Chart Reading'!$D$2='4 Hourly RR Chart Reading'!$A20, '1 Pattern 10min  Chart Reading'!AC$3, "")</f>
        <v/>
      </c>
      <c r="AF20" s="15"/>
      <c r="AG20" s="139" t="str">
        <f t="shared" si="5"/>
        <v/>
      </c>
      <c r="AH20" s="140" t="str">
        <f t="shared" si="6"/>
        <v/>
      </c>
      <c r="AI20" s="140" t="str">
        <f t="shared" si="7"/>
        <v/>
      </c>
      <c r="AJ20" s="141" t="str">
        <f t="shared" si="8"/>
        <v/>
      </c>
      <c r="AK20" s="142" t="str">
        <f t="shared" si="1"/>
        <v/>
      </c>
      <c r="AL20" s="143" t="str">
        <f t="shared" si="2"/>
        <v/>
      </c>
      <c r="AM20" s="143" t="str">
        <f t="shared" si="3"/>
        <v/>
      </c>
      <c r="AN20" s="144" t="str">
        <f t="shared" si="4"/>
        <v/>
      </c>
      <c r="AO20" s="11"/>
      <c r="AP20" s="40"/>
      <c r="AQ20" s="40"/>
      <c r="AR20" s="40"/>
      <c r="AS20" s="40"/>
    </row>
    <row r="21" spans="1:45" ht="13.9" customHeight="1" thickBot="1" x14ac:dyDescent="0.3">
      <c r="A21" s="38">
        <v>10</v>
      </c>
      <c r="B21" s="28"/>
      <c r="C21" s="127">
        <f>'1 Pattern 10min  Chart Reading'!AI12</f>
        <v>0</v>
      </c>
      <c r="D21" s="128">
        <f>'1 Pattern 10min  Chart Reading'!AJ12</f>
        <v>0</v>
      </c>
      <c r="E21" s="128">
        <f>'1 Pattern 10min  Chart Reading'!AK12</f>
        <v>0</v>
      </c>
      <c r="F21" s="129">
        <f>'1 Pattern 10min  Chart Reading'!AL12</f>
        <v>0</v>
      </c>
      <c r="G21" s="108">
        <f t="shared" si="0"/>
        <v>0</v>
      </c>
      <c r="H21" s="264" t="str">
        <f>IF('1 Pattern 10min  Chart Reading'!$D$2='4 Hourly RR Chart Reading'!$A21, '1 Pattern 10min  Chart Reading'!F$3, "")</f>
        <v/>
      </c>
      <c r="I21" s="264" t="str">
        <f>IF('1 Pattern 10min  Chart Reading'!$D$2='4 Hourly RR Chart Reading'!$A21, '1 Pattern 10min  Chart Reading'!G$3, "")</f>
        <v/>
      </c>
      <c r="J21" s="264" t="str">
        <f>IF('1 Pattern 10min  Chart Reading'!$D$2='4 Hourly RR Chart Reading'!$A21, '1 Pattern 10min  Chart Reading'!H$3, "")</f>
        <v/>
      </c>
      <c r="K21" s="264" t="str">
        <f>IF('1 Pattern 10min  Chart Reading'!$D$2='4 Hourly RR Chart Reading'!$A21, '1 Pattern 10min  Chart Reading'!I$3, "")</f>
        <v/>
      </c>
      <c r="L21" s="264" t="str">
        <f>IF('1 Pattern 10min  Chart Reading'!$D$2='4 Hourly RR Chart Reading'!$A21, '1 Pattern 10min  Chart Reading'!J$3, "")</f>
        <v/>
      </c>
      <c r="M21" s="264" t="str">
        <f>IF('1 Pattern 10min  Chart Reading'!$D$2='4 Hourly RR Chart Reading'!$A21, '1 Pattern 10min  Chart Reading'!K$3, "")</f>
        <v/>
      </c>
      <c r="N21" s="264" t="str">
        <f>IF('1 Pattern 10min  Chart Reading'!$D$2='4 Hourly RR Chart Reading'!$A21, '1 Pattern 10min  Chart Reading'!L$3, "")</f>
        <v/>
      </c>
      <c r="O21" s="264" t="str">
        <f>IF('1 Pattern 10min  Chart Reading'!$D$2='4 Hourly RR Chart Reading'!$A21, '1 Pattern 10min  Chart Reading'!M$3, "")</f>
        <v/>
      </c>
      <c r="P21" s="264" t="str">
        <f>IF('1 Pattern 10min  Chart Reading'!$D$2='4 Hourly RR Chart Reading'!$A21, '1 Pattern 10min  Chart Reading'!N$3, "")</f>
        <v/>
      </c>
      <c r="Q21" s="264" t="str">
        <f>IF('1 Pattern 10min  Chart Reading'!$D$2='4 Hourly RR Chart Reading'!$A21, '1 Pattern 10min  Chart Reading'!O$3, "")</f>
        <v/>
      </c>
      <c r="R21" s="264" t="str">
        <f>IF('1 Pattern 10min  Chart Reading'!$D$2='4 Hourly RR Chart Reading'!$A21, '1 Pattern 10min  Chart Reading'!P$3, "")</f>
        <v/>
      </c>
      <c r="S21" s="264" t="str">
        <f>IF('1 Pattern 10min  Chart Reading'!$D$2='4 Hourly RR Chart Reading'!$A21, '1 Pattern 10min  Chart Reading'!Q$3, "")</f>
        <v/>
      </c>
      <c r="T21" s="264" t="str">
        <f>IF('1 Pattern 10min  Chart Reading'!$D$2='4 Hourly RR Chart Reading'!$A21, '1 Pattern 10min  Chart Reading'!R$3, "")</f>
        <v/>
      </c>
      <c r="U21" s="264" t="str">
        <f>IF('1 Pattern 10min  Chart Reading'!$D$2='4 Hourly RR Chart Reading'!$A21, '1 Pattern 10min  Chart Reading'!S$3, "")</f>
        <v/>
      </c>
      <c r="V21" s="264" t="str">
        <f>IF('1 Pattern 10min  Chart Reading'!$D$2='4 Hourly RR Chart Reading'!$A21, '1 Pattern 10min  Chart Reading'!T$3, "")</f>
        <v/>
      </c>
      <c r="W21" s="264" t="str">
        <f>IF('1 Pattern 10min  Chart Reading'!$D$2='4 Hourly RR Chart Reading'!$A21, '1 Pattern 10min  Chart Reading'!U$3, "")</f>
        <v/>
      </c>
      <c r="X21" s="264" t="str">
        <f>IF('1 Pattern 10min  Chart Reading'!$D$2='4 Hourly RR Chart Reading'!$A21, '1 Pattern 10min  Chart Reading'!V$3, "")</f>
        <v/>
      </c>
      <c r="Y21" s="264" t="str">
        <f>IF('1 Pattern 10min  Chart Reading'!$D$2='4 Hourly RR Chart Reading'!$A21, '1 Pattern 10min  Chart Reading'!W$3, "")</f>
        <v/>
      </c>
      <c r="Z21" s="264" t="str">
        <f>IF('1 Pattern 10min  Chart Reading'!$D$2='4 Hourly RR Chart Reading'!$A21, '1 Pattern 10min  Chart Reading'!X$3, "")</f>
        <v/>
      </c>
      <c r="AA21" s="264" t="str">
        <f>IF('1 Pattern 10min  Chart Reading'!$D$2='4 Hourly RR Chart Reading'!$A21, '1 Pattern 10min  Chart Reading'!Y$3, "")</f>
        <v/>
      </c>
      <c r="AB21" s="264" t="str">
        <f>IF('1 Pattern 10min  Chart Reading'!$D$2='4 Hourly RR Chart Reading'!$A21, '1 Pattern 10min  Chart Reading'!Z$3, "")</f>
        <v/>
      </c>
      <c r="AC21" s="264" t="str">
        <f>IF('1 Pattern 10min  Chart Reading'!$D$2='4 Hourly RR Chart Reading'!$A21, '1 Pattern 10min  Chart Reading'!AA$3, "")</f>
        <v/>
      </c>
      <c r="AD21" s="264" t="str">
        <f>IF('1 Pattern 10min  Chart Reading'!$D$2='4 Hourly RR Chart Reading'!$A21, '1 Pattern 10min  Chart Reading'!AB$3, "")</f>
        <v/>
      </c>
      <c r="AE21" s="264" t="str">
        <f>IF('1 Pattern 10min  Chart Reading'!$D$2='4 Hourly RR Chart Reading'!$A21, '1 Pattern 10min  Chart Reading'!AC$3, "")</f>
        <v/>
      </c>
      <c r="AF21" s="15"/>
      <c r="AG21" s="139" t="str">
        <f t="shared" si="5"/>
        <v/>
      </c>
      <c r="AH21" s="140" t="str">
        <f t="shared" si="6"/>
        <v/>
      </c>
      <c r="AI21" s="140" t="str">
        <f t="shared" si="7"/>
        <v/>
      </c>
      <c r="AJ21" s="141" t="str">
        <f t="shared" si="8"/>
        <v/>
      </c>
      <c r="AK21" s="142" t="str">
        <f t="shared" si="1"/>
        <v/>
      </c>
      <c r="AL21" s="143" t="str">
        <f t="shared" si="2"/>
        <v/>
      </c>
      <c r="AM21" s="143" t="str">
        <f t="shared" si="3"/>
        <v/>
      </c>
      <c r="AN21" s="144" t="str">
        <f t="shared" si="4"/>
        <v/>
      </c>
      <c r="AO21" s="11"/>
      <c r="AP21" s="40"/>
      <c r="AQ21" s="41"/>
      <c r="AR21" s="40"/>
      <c r="AS21" s="40"/>
    </row>
    <row r="22" spans="1:45" ht="13.9" customHeight="1" thickBot="1" x14ac:dyDescent="0.3">
      <c r="A22" s="38">
        <v>11</v>
      </c>
      <c r="B22" s="28"/>
      <c r="C22" s="127">
        <f>'1 Pattern 10min  Chart Reading'!AI13</f>
        <v>0</v>
      </c>
      <c r="D22" s="128">
        <f>'1 Pattern 10min  Chart Reading'!AJ13</f>
        <v>0</v>
      </c>
      <c r="E22" s="128">
        <f>'1 Pattern 10min  Chart Reading'!AK13</f>
        <v>0</v>
      </c>
      <c r="F22" s="129">
        <f>'1 Pattern 10min  Chart Reading'!AL13</f>
        <v>0</v>
      </c>
      <c r="G22" s="108">
        <f t="shared" si="0"/>
        <v>0</v>
      </c>
      <c r="H22" s="264" t="str">
        <f>IF('1 Pattern 10min  Chart Reading'!$D$2='4 Hourly RR Chart Reading'!$A22, '1 Pattern 10min  Chart Reading'!F$3, "")</f>
        <v/>
      </c>
      <c r="I22" s="264" t="str">
        <f>IF('1 Pattern 10min  Chart Reading'!$D$2='4 Hourly RR Chart Reading'!$A22, '1 Pattern 10min  Chart Reading'!G$3, "")</f>
        <v/>
      </c>
      <c r="J22" s="264" t="str">
        <f>IF('1 Pattern 10min  Chart Reading'!$D$2='4 Hourly RR Chart Reading'!$A22, '1 Pattern 10min  Chart Reading'!H$3, "")</f>
        <v/>
      </c>
      <c r="K22" s="264" t="str">
        <f>IF('1 Pattern 10min  Chart Reading'!$D$2='4 Hourly RR Chart Reading'!$A22, '1 Pattern 10min  Chart Reading'!I$3, "")</f>
        <v/>
      </c>
      <c r="L22" s="264" t="str">
        <f>IF('1 Pattern 10min  Chart Reading'!$D$2='4 Hourly RR Chart Reading'!$A22, '1 Pattern 10min  Chart Reading'!J$3, "")</f>
        <v/>
      </c>
      <c r="M22" s="264" t="str">
        <f>IF('1 Pattern 10min  Chart Reading'!$D$2='4 Hourly RR Chart Reading'!$A22, '1 Pattern 10min  Chart Reading'!K$3, "")</f>
        <v/>
      </c>
      <c r="N22" s="264" t="str">
        <f>IF('1 Pattern 10min  Chart Reading'!$D$2='4 Hourly RR Chart Reading'!$A22, '1 Pattern 10min  Chart Reading'!L$3, "")</f>
        <v/>
      </c>
      <c r="O22" s="264" t="str">
        <f>IF('1 Pattern 10min  Chart Reading'!$D$2='4 Hourly RR Chart Reading'!$A22, '1 Pattern 10min  Chart Reading'!M$3, "")</f>
        <v/>
      </c>
      <c r="P22" s="264" t="str">
        <f>IF('1 Pattern 10min  Chart Reading'!$D$2='4 Hourly RR Chart Reading'!$A22, '1 Pattern 10min  Chart Reading'!N$3, "")</f>
        <v/>
      </c>
      <c r="Q22" s="264" t="str">
        <f>IF('1 Pattern 10min  Chart Reading'!$D$2='4 Hourly RR Chart Reading'!$A22, '1 Pattern 10min  Chart Reading'!O$3, "")</f>
        <v/>
      </c>
      <c r="R22" s="264" t="str">
        <f>IF('1 Pattern 10min  Chart Reading'!$D$2='4 Hourly RR Chart Reading'!$A22, '1 Pattern 10min  Chart Reading'!P$3, "")</f>
        <v/>
      </c>
      <c r="S22" s="264" t="str">
        <f>IF('1 Pattern 10min  Chart Reading'!$D$2='4 Hourly RR Chart Reading'!$A22, '1 Pattern 10min  Chart Reading'!Q$3, "")</f>
        <v/>
      </c>
      <c r="T22" s="264" t="str">
        <f>IF('1 Pattern 10min  Chart Reading'!$D$2='4 Hourly RR Chart Reading'!$A22, '1 Pattern 10min  Chart Reading'!R$3, "")</f>
        <v/>
      </c>
      <c r="U22" s="264" t="str">
        <f>IF('1 Pattern 10min  Chart Reading'!$D$2='4 Hourly RR Chart Reading'!$A22, '1 Pattern 10min  Chart Reading'!S$3, "")</f>
        <v/>
      </c>
      <c r="V22" s="264" t="str">
        <f>IF('1 Pattern 10min  Chart Reading'!$D$2='4 Hourly RR Chart Reading'!$A22, '1 Pattern 10min  Chart Reading'!T$3, "")</f>
        <v/>
      </c>
      <c r="W22" s="264" t="str">
        <f>IF('1 Pattern 10min  Chart Reading'!$D$2='4 Hourly RR Chart Reading'!$A22, '1 Pattern 10min  Chart Reading'!U$3, "")</f>
        <v/>
      </c>
      <c r="X22" s="264" t="str">
        <f>IF('1 Pattern 10min  Chart Reading'!$D$2='4 Hourly RR Chart Reading'!$A22, '1 Pattern 10min  Chart Reading'!V$3, "")</f>
        <v/>
      </c>
      <c r="Y22" s="264" t="str">
        <f>IF('1 Pattern 10min  Chart Reading'!$D$2='4 Hourly RR Chart Reading'!$A22, '1 Pattern 10min  Chart Reading'!W$3, "")</f>
        <v/>
      </c>
      <c r="Z22" s="264" t="str">
        <f>IF('1 Pattern 10min  Chart Reading'!$D$2='4 Hourly RR Chart Reading'!$A22, '1 Pattern 10min  Chart Reading'!X$3, "")</f>
        <v/>
      </c>
      <c r="AA22" s="264" t="str">
        <f>IF('1 Pattern 10min  Chart Reading'!$D$2='4 Hourly RR Chart Reading'!$A22, '1 Pattern 10min  Chart Reading'!Y$3, "")</f>
        <v/>
      </c>
      <c r="AB22" s="264" t="str">
        <f>IF('1 Pattern 10min  Chart Reading'!$D$2='4 Hourly RR Chart Reading'!$A22, '1 Pattern 10min  Chart Reading'!Z$3, "")</f>
        <v/>
      </c>
      <c r="AC22" s="264" t="str">
        <f>IF('1 Pattern 10min  Chart Reading'!$D$2='4 Hourly RR Chart Reading'!$A22, '1 Pattern 10min  Chart Reading'!AA$3, "")</f>
        <v/>
      </c>
      <c r="AD22" s="264" t="str">
        <f>IF('1 Pattern 10min  Chart Reading'!$D$2='4 Hourly RR Chart Reading'!$A22, '1 Pattern 10min  Chart Reading'!AB$3, "")</f>
        <v/>
      </c>
      <c r="AE22" s="264" t="str">
        <f>IF('1 Pattern 10min  Chart Reading'!$D$2='4 Hourly RR Chart Reading'!$A22, '1 Pattern 10min  Chart Reading'!AC$3, "")</f>
        <v/>
      </c>
      <c r="AF22" s="15"/>
      <c r="AG22" s="139" t="str">
        <f t="shared" si="5"/>
        <v/>
      </c>
      <c r="AH22" s="140" t="str">
        <f t="shared" si="6"/>
        <v/>
      </c>
      <c r="AI22" s="140" t="str">
        <f t="shared" si="7"/>
        <v/>
      </c>
      <c r="AJ22" s="141" t="str">
        <f t="shared" si="8"/>
        <v/>
      </c>
      <c r="AK22" s="142" t="str">
        <f t="shared" si="1"/>
        <v/>
      </c>
      <c r="AL22" s="143" t="str">
        <f t="shared" si="2"/>
        <v/>
      </c>
      <c r="AM22" s="239" t="str">
        <f t="shared" si="3"/>
        <v/>
      </c>
      <c r="AN22" s="144" t="str">
        <f t="shared" si="4"/>
        <v/>
      </c>
      <c r="AO22" s="11"/>
      <c r="AP22" s="40"/>
      <c r="AQ22" s="40"/>
      <c r="AR22" s="40"/>
      <c r="AS22" s="40"/>
    </row>
    <row r="23" spans="1:45" ht="13.9" customHeight="1" thickBot="1" x14ac:dyDescent="0.3">
      <c r="A23" s="38">
        <v>12</v>
      </c>
      <c r="B23" s="28"/>
      <c r="C23" s="127">
        <f>'1 Pattern 10min  Chart Reading'!AI14</f>
        <v>0</v>
      </c>
      <c r="D23" s="128">
        <f>'1 Pattern 10min  Chart Reading'!AJ14</f>
        <v>0</v>
      </c>
      <c r="E23" s="128">
        <f>'1 Pattern 10min  Chart Reading'!AK14</f>
        <v>0</v>
      </c>
      <c r="F23" s="129">
        <f>'1 Pattern 10min  Chart Reading'!AL14</f>
        <v>0</v>
      </c>
      <c r="G23" s="108">
        <f t="shared" si="0"/>
        <v>0</v>
      </c>
      <c r="H23" s="264" t="str">
        <f>IF('1 Pattern 10min  Chart Reading'!$D$2='4 Hourly RR Chart Reading'!$A23, '1 Pattern 10min  Chart Reading'!F$3, "")</f>
        <v/>
      </c>
      <c r="I23" s="264" t="str">
        <f>IF('1 Pattern 10min  Chart Reading'!$D$2='4 Hourly RR Chart Reading'!$A23, '1 Pattern 10min  Chart Reading'!G$3, "")</f>
        <v/>
      </c>
      <c r="J23" s="264" t="str">
        <f>IF('1 Pattern 10min  Chart Reading'!$D$2='4 Hourly RR Chart Reading'!$A23, '1 Pattern 10min  Chart Reading'!H$3, "")</f>
        <v/>
      </c>
      <c r="K23" s="264" t="str">
        <f>IF('1 Pattern 10min  Chart Reading'!$D$2='4 Hourly RR Chart Reading'!$A23, '1 Pattern 10min  Chart Reading'!I$3, "")</f>
        <v/>
      </c>
      <c r="L23" s="264" t="str">
        <f>IF('1 Pattern 10min  Chart Reading'!$D$2='4 Hourly RR Chart Reading'!$A23, '1 Pattern 10min  Chart Reading'!J$3, "")</f>
        <v/>
      </c>
      <c r="M23" s="264" t="str">
        <f>IF('1 Pattern 10min  Chart Reading'!$D$2='4 Hourly RR Chart Reading'!$A23, '1 Pattern 10min  Chart Reading'!K$3, "")</f>
        <v/>
      </c>
      <c r="N23" s="264" t="str">
        <f>IF('1 Pattern 10min  Chart Reading'!$D$2='4 Hourly RR Chart Reading'!$A23, '1 Pattern 10min  Chart Reading'!L$3, "")</f>
        <v/>
      </c>
      <c r="O23" s="264" t="str">
        <f>IF('1 Pattern 10min  Chart Reading'!$D$2='4 Hourly RR Chart Reading'!$A23, '1 Pattern 10min  Chart Reading'!M$3, "")</f>
        <v/>
      </c>
      <c r="P23" s="264" t="str">
        <f>IF('1 Pattern 10min  Chart Reading'!$D$2='4 Hourly RR Chart Reading'!$A23, '1 Pattern 10min  Chart Reading'!N$3, "")</f>
        <v/>
      </c>
      <c r="Q23" s="264" t="str">
        <f>IF('1 Pattern 10min  Chart Reading'!$D$2='4 Hourly RR Chart Reading'!$A23, '1 Pattern 10min  Chart Reading'!O$3, "")</f>
        <v/>
      </c>
      <c r="R23" s="264" t="str">
        <f>IF('1 Pattern 10min  Chart Reading'!$D$2='4 Hourly RR Chart Reading'!$A23, '1 Pattern 10min  Chart Reading'!P$3, "")</f>
        <v/>
      </c>
      <c r="S23" s="264" t="str">
        <f>IF('1 Pattern 10min  Chart Reading'!$D$2='4 Hourly RR Chart Reading'!$A23, '1 Pattern 10min  Chart Reading'!Q$3, "")</f>
        <v/>
      </c>
      <c r="T23" s="264" t="str">
        <f>IF('1 Pattern 10min  Chart Reading'!$D$2='4 Hourly RR Chart Reading'!$A23, '1 Pattern 10min  Chart Reading'!R$3, "")</f>
        <v/>
      </c>
      <c r="U23" s="264" t="str">
        <f>IF('1 Pattern 10min  Chart Reading'!$D$2='4 Hourly RR Chart Reading'!$A23, '1 Pattern 10min  Chart Reading'!S$3, "")</f>
        <v/>
      </c>
      <c r="V23" s="264" t="str">
        <f>IF('1 Pattern 10min  Chart Reading'!$D$2='4 Hourly RR Chart Reading'!$A23, '1 Pattern 10min  Chart Reading'!T$3, "")</f>
        <v/>
      </c>
      <c r="W23" s="264" t="str">
        <f>IF('1 Pattern 10min  Chart Reading'!$D$2='4 Hourly RR Chart Reading'!$A23, '1 Pattern 10min  Chart Reading'!U$3, "")</f>
        <v/>
      </c>
      <c r="X23" s="264" t="str">
        <f>IF('1 Pattern 10min  Chart Reading'!$D$2='4 Hourly RR Chart Reading'!$A23, '1 Pattern 10min  Chart Reading'!V$3, "")</f>
        <v/>
      </c>
      <c r="Y23" s="264" t="str">
        <f>IF('1 Pattern 10min  Chart Reading'!$D$2='4 Hourly RR Chart Reading'!$A23, '1 Pattern 10min  Chart Reading'!W$3, "")</f>
        <v/>
      </c>
      <c r="Z23" s="264" t="str">
        <f>IF('1 Pattern 10min  Chart Reading'!$D$2='4 Hourly RR Chart Reading'!$A23, '1 Pattern 10min  Chart Reading'!X$3, "")</f>
        <v/>
      </c>
      <c r="AA23" s="264" t="str">
        <f>IF('1 Pattern 10min  Chart Reading'!$D$2='4 Hourly RR Chart Reading'!$A23, '1 Pattern 10min  Chart Reading'!Y$3, "")</f>
        <v/>
      </c>
      <c r="AB23" s="264" t="str">
        <f>IF('1 Pattern 10min  Chart Reading'!$D$2='4 Hourly RR Chart Reading'!$A23, '1 Pattern 10min  Chart Reading'!Z$3, "")</f>
        <v/>
      </c>
      <c r="AC23" s="264" t="str">
        <f>IF('1 Pattern 10min  Chart Reading'!$D$2='4 Hourly RR Chart Reading'!$A23, '1 Pattern 10min  Chart Reading'!AA$3, "")</f>
        <v/>
      </c>
      <c r="AD23" s="264" t="str">
        <f>IF('1 Pattern 10min  Chart Reading'!$D$2='4 Hourly RR Chart Reading'!$A23, '1 Pattern 10min  Chart Reading'!AB$3, "")</f>
        <v/>
      </c>
      <c r="AE23" s="264" t="str">
        <f>IF('1 Pattern 10min  Chart Reading'!$D$2='4 Hourly RR Chart Reading'!$A23, '1 Pattern 10min  Chart Reading'!AC$3, "")</f>
        <v/>
      </c>
      <c r="AF23" s="15"/>
      <c r="AG23" s="139" t="str">
        <f t="shared" si="5"/>
        <v/>
      </c>
      <c r="AH23" s="140" t="str">
        <f t="shared" si="6"/>
        <v/>
      </c>
      <c r="AI23" s="140" t="str">
        <f t="shared" si="7"/>
        <v/>
      </c>
      <c r="AJ23" s="141" t="str">
        <f t="shared" si="8"/>
        <v/>
      </c>
      <c r="AK23" s="142" t="str">
        <f t="shared" si="1"/>
        <v/>
      </c>
      <c r="AL23" s="143" t="str">
        <f t="shared" si="2"/>
        <v/>
      </c>
      <c r="AM23" s="143" t="str">
        <f t="shared" si="3"/>
        <v/>
      </c>
      <c r="AN23" s="144" t="str">
        <f t="shared" si="4"/>
        <v/>
      </c>
      <c r="AO23" s="11"/>
      <c r="AP23" s="40"/>
      <c r="AQ23" s="40"/>
      <c r="AR23" s="40"/>
      <c r="AS23" s="40"/>
    </row>
    <row r="24" spans="1:45" ht="13.9" customHeight="1" thickBot="1" x14ac:dyDescent="0.3">
      <c r="A24" s="38">
        <v>13</v>
      </c>
      <c r="B24" s="28"/>
      <c r="C24" s="127">
        <f>'1 Pattern 10min  Chart Reading'!AI15</f>
        <v>0</v>
      </c>
      <c r="D24" s="128">
        <f>'1 Pattern 10min  Chart Reading'!AJ15</f>
        <v>0</v>
      </c>
      <c r="E24" s="128">
        <f>'1 Pattern 10min  Chart Reading'!AK15</f>
        <v>0</v>
      </c>
      <c r="F24" s="129">
        <f>'1 Pattern 10min  Chart Reading'!AL15</f>
        <v>0</v>
      </c>
      <c r="G24" s="108">
        <f t="shared" si="0"/>
        <v>0</v>
      </c>
      <c r="H24" s="264" t="str">
        <f>IF('1 Pattern 10min  Chart Reading'!$D$2='4 Hourly RR Chart Reading'!$A24, '1 Pattern 10min  Chart Reading'!F$3, "")</f>
        <v/>
      </c>
      <c r="I24" s="264" t="str">
        <f>IF('1 Pattern 10min  Chart Reading'!$D$2='4 Hourly RR Chart Reading'!$A24, '1 Pattern 10min  Chart Reading'!G$3, "")</f>
        <v/>
      </c>
      <c r="J24" s="264" t="str">
        <f>IF('1 Pattern 10min  Chart Reading'!$D$2='4 Hourly RR Chart Reading'!$A24, '1 Pattern 10min  Chart Reading'!H$3, "")</f>
        <v/>
      </c>
      <c r="K24" s="264" t="str">
        <f>IF('1 Pattern 10min  Chart Reading'!$D$2='4 Hourly RR Chart Reading'!$A24, '1 Pattern 10min  Chart Reading'!I$3, "")</f>
        <v/>
      </c>
      <c r="L24" s="264" t="str">
        <f>IF('1 Pattern 10min  Chart Reading'!$D$2='4 Hourly RR Chart Reading'!$A24, '1 Pattern 10min  Chart Reading'!J$3, "")</f>
        <v/>
      </c>
      <c r="M24" s="264" t="str">
        <f>IF('1 Pattern 10min  Chart Reading'!$D$2='4 Hourly RR Chart Reading'!$A24, '1 Pattern 10min  Chart Reading'!K$3, "")</f>
        <v/>
      </c>
      <c r="N24" s="264" t="str">
        <f>IF('1 Pattern 10min  Chart Reading'!$D$2='4 Hourly RR Chart Reading'!$A24, '1 Pattern 10min  Chart Reading'!L$3, "")</f>
        <v/>
      </c>
      <c r="O24" s="264" t="str">
        <f>IF('1 Pattern 10min  Chart Reading'!$D$2='4 Hourly RR Chart Reading'!$A24, '1 Pattern 10min  Chart Reading'!M$3, "")</f>
        <v/>
      </c>
      <c r="P24" s="264" t="str">
        <f>IF('1 Pattern 10min  Chart Reading'!$D$2='4 Hourly RR Chart Reading'!$A24, '1 Pattern 10min  Chart Reading'!N$3, "")</f>
        <v/>
      </c>
      <c r="Q24" s="264" t="str">
        <f>IF('1 Pattern 10min  Chart Reading'!$D$2='4 Hourly RR Chart Reading'!$A24, '1 Pattern 10min  Chart Reading'!O$3, "")</f>
        <v/>
      </c>
      <c r="R24" s="264" t="str">
        <f>IF('1 Pattern 10min  Chart Reading'!$D$2='4 Hourly RR Chart Reading'!$A24, '1 Pattern 10min  Chart Reading'!P$3, "")</f>
        <v/>
      </c>
      <c r="S24" s="264" t="str">
        <f>IF('1 Pattern 10min  Chart Reading'!$D$2='4 Hourly RR Chart Reading'!$A24, '1 Pattern 10min  Chart Reading'!Q$3, "")</f>
        <v/>
      </c>
      <c r="T24" s="264" t="str">
        <f>IF('1 Pattern 10min  Chart Reading'!$D$2='4 Hourly RR Chart Reading'!$A24, '1 Pattern 10min  Chart Reading'!R$3, "")</f>
        <v/>
      </c>
      <c r="U24" s="264" t="str">
        <f>IF('1 Pattern 10min  Chart Reading'!$D$2='4 Hourly RR Chart Reading'!$A24, '1 Pattern 10min  Chart Reading'!S$3, "")</f>
        <v/>
      </c>
      <c r="V24" s="264" t="str">
        <f>IF('1 Pattern 10min  Chart Reading'!$D$2='4 Hourly RR Chart Reading'!$A24, '1 Pattern 10min  Chart Reading'!T$3, "")</f>
        <v/>
      </c>
      <c r="W24" s="264" t="str">
        <f>IF('1 Pattern 10min  Chart Reading'!$D$2='4 Hourly RR Chart Reading'!$A24, '1 Pattern 10min  Chart Reading'!U$3, "")</f>
        <v/>
      </c>
      <c r="X24" s="264" t="str">
        <f>IF('1 Pattern 10min  Chart Reading'!$D$2='4 Hourly RR Chart Reading'!$A24, '1 Pattern 10min  Chart Reading'!V$3, "")</f>
        <v/>
      </c>
      <c r="Y24" s="264" t="str">
        <f>IF('1 Pattern 10min  Chart Reading'!$D$2='4 Hourly RR Chart Reading'!$A24, '1 Pattern 10min  Chart Reading'!W$3, "")</f>
        <v/>
      </c>
      <c r="Z24" s="264" t="str">
        <f>IF('1 Pattern 10min  Chart Reading'!$D$2='4 Hourly RR Chart Reading'!$A24, '1 Pattern 10min  Chart Reading'!X$3, "")</f>
        <v/>
      </c>
      <c r="AA24" s="264" t="str">
        <f>IF('1 Pattern 10min  Chart Reading'!$D$2='4 Hourly RR Chart Reading'!$A24, '1 Pattern 10min  Chart Reading'!Y$3, "")</f>
        <v/>
      </c>
      <c r="AB24" s="264" t="str">
        <f>IF('1 Pattern 10min  Chart Reading'!$D$2='4 Hourly RR Chart Reading'!$A24, '1 Pattern 10min  Chart Reading'!Z$3, "")</f>
        <v/>
      </c>
      <c r="AC24" s="264" t="str">
        <f>IF('1 Pattern 10min  Chart Reading'!$D$2='4 Hourly RR Chart Reading'!$A24, '1 Pattern 10min  Chart Reading'!AA$3, "")</f>
        <v/>
      </c>
      <c r="AD24" s="264" t="str">
        <f>IF('1 Pattern 10min  Chart Reading'!$D$2='4 Hourly RR Chart Reading'!$A24, '1 Pattern 10min  Chart Reading'!AB$3, "")</f>
        <v/>
      </c>
      <c r="AE24" s="264" t="str">
        <f>IF('1 Pattern 10min  Chart Reading'!$D$2='4 Hourly RR Chart Reading'!$A24, '1 Pattern 10min  Chart Reading'!AC$3, "")</f>
        <v/>
      </c>
      <c r="AF24" s="15"/>
      <c r="AG24" s="139" t="str">
        <f t="shared" si="5"/>
        <v/>
      </c>
      <c r="AH24" s="140" t="str">
        <f t="shared" si="6"/>
        <v/>
      </c>
      <c r="AI24" s="140" t="str">
        <f t="shared" si="7"/>
        <v/>
      </c>
      <c r="AJ24" s="141" t="str">
        <f t="shared" si="8"/>
        <v/>
      </c>
      <c r="AK24" s="142" t="str">
        <f t="shared" si="1"/>
        <v/>
      </c>
      <c r="AL24" s="143" t="str">
        <f t="shared" si="2"/>
        <v/>
      </c>
      <c r="AM24" s="143" t="str">
        <f t="shared" si="3"/>
        <v/>
      </c>
      <c r="AN24" s="144" t="str">
        <f t="shared" si="4"/>
        <v/>
      </c>
      <c r="AO24" s="11"/>
      <c r="AP24" s="40"/>
      <c r="AQ24" s="40"/>
      <c r="AR24" s="40"/>
      <c r="AS24" s="40"/>
    </row>
    <row r="25" spans="1:45" ht="13.9" customHeight="1" thickBot="1" x14ac:dyDescent="0.3">
      <c r="A25" s="38">
        <v>14</v>
      </c>
      <c r="B25" s="28"/>
      <c r="C25" s="127">
        <f>'1 Pattern 10min  Chart Reading'!AI16</f>
        <v>0</v>
      </c>
      <c r="D25" s="128">
        <f>'1 Pattern 10min  Chart Reading'!AJ16</f>
        <v>0</v>
      </c>
      <c r="E25" s="128">
        <f>'1 Pattern 10min  Chart Reading'!AK16</f>
        <v>0</v>
      </c>
      <c r="F25" s="129">
        <f>'1 Pattern 10min  Chart Reading'!AL16</f>
        <v>0</v>
      </c>
      <c r="G25" s="108">
        <f t="shared" si="0"/>
        <v>0</v>
      </c>
      <c r="H25" s="264" t="str">
        <f>IF('1 Pattern 10min  Chart Reading'!$D$2='4 Hourly RR Chart Reading'!$A25, '1 Pattern 10min  Chart Reading'!F$3, "")</f>
        <v/>
      </c>
      <c r="I25" s="264" t="str">
        <f>IF('1 Pattern 10min  Chart Reading'!$D$2='4 Hourly RR Chart Reading'!$A25, '1 Pattern 10min  Chart Reading'!G$3, "")</f>
        <v/>
      </c>
      <c r="J25" s="264" t="str">
        <f>IF('1 Pattern 10min  Chart Reading'!$D$2='4 Hourly RR Chart Reading'!$A25, '1 Pattern 10min  Chart Reading'!H$3, "")</f>
        <v/>
      </c>
      <c r="K25" s="264" t="str">
        <f>IF('1 Pattern 10min  Chart Reading'!$D$2='4 Hourly RR Chart Reading'!$A25, '1 Pattern 10min  Chart Reading'!I$3, "")</f>
        <v/>
      </c>
      <c r="L25" s="264" t="str">
        <f>IF('1 Pattern 10min  Chart Reading'!$D$2='4 Hourly RR Chart Reading'!$A25, '1 Pattern 10min  Chart Reading'!J$3, "")</f>
        <v/>
      </c>
      <c r="M25" s="264" t="str">
        <f>IF('1 Pattern 10min  Chart Reading'!$D$2='4 Hourly RR Chart Reading'!$A25, '1 Pattern 10min  Chart Reading'!K$3, "")</f>
        <v/>
      </c>
      <c r="N25" s="264" t="str">
        <f>IF('1 Pattern 10min  Chart Reading'!$D$2='4 Hourly RR Chart Reading'!$A25, '1 Pattern 10min  Chart Reading'!L$3, "")</f>
        <v/>
      </c>
      <c r="O25" s="264" t="str">
        <f>IF('1 Pattern 10min  Chart Reading'!$D$2='4 Hourly RR Chart Reading'!$A25, '1 Pattern 10min  Chart Reading'!M$3, "")</f>
        <v/>
      </c>
      <c r="P25" s="264" t="str">
        <f>IF('1 Pattern 10min  Chart Reading'!$D$2='4 Hourly RR Chart Reading'!$A25, '1 Pattern 10min  Chart Reading'!N$3, "")</f>
        <v/>
      </c>
      <c r="Q25" s="264" t="str">
        <f>IF('1 Pattern 10min  Chart Reading'!$D$2='4 Hourly RR Chart Reading'!$A25, '1 Pattern 10min  Chart Reading'!O$3, "")</f>
        <v/>
      </c>
      <c r="R25" s="264" t="str">
        <f>IF('1 Pattern 10min  Chart Reading'!$D$2='4 Hourly RR Chart Reading'!$A25, '1 Pattern 10min  Chart Reading'!P$3, "")</f>
        <v/>
      </c>
      <c r="S25" s="264" t="str">
        <f>IF('1 Pattern 10min  Chart Reading'!$D$2='4 Hourly RR Chart Reading'!$A25, '1 Pattern 10min  Chart Reading'!Q$3, "")</f>
        <v/>
      </c>
      <c r="T25" s="264" t="str">
        <f>IF('1 Pattern 10min  Chart Reading'!$D$2='4 Hourly RR Chart Reading'!$A25, '1 Pattern 10min  Chart Reading'!R$3, "")</f>
        <v/>
      </c>
      <c r="U25" s="264" t="str">
        <f>IF('1 Pattern 10min  Chart Reading'!$D$2='4 Hourly RR Chart Reading'!$A25, '1 Pattern 10min  Chart Reading'!S$3, "")</f>
        <v/>
      </c>
      <c r="V25" s="264" t="str">
        <f>IF('1 Pattern 10min  Chart Reading'!$D$2='4 Hourly RR Chart Reading'!$A25, '1 Pattern 10min  Chart Reading'!T$3, "")</f>
        <v/>
      </c>
      <c r="W25" s="264" t="str">
        <f>IF('1 Pattern 10min  Chart Reading'!$D$2='4 Hourly RR Chart Reading'!$A25, '1 Pattern 10min  Chart Reading'!U$3, "")</f>
        <v/>
      </c>
      <c r="X25" s="264" t="str">
        <f>IF('1 Pattern 10min  Chart Reading'!$D$2='4 Hourly RR Chart Reading'!$A25, '1 Pattern 10min  Chart Reading'!V$3, "")</f>
        <v/>
      </c>
      <c r="Y25" s="264" t="str">
        <f>IF('1 Pattern 10min  Chart Reading'!$D$2='4 Hourly RR Chart Reading'!$A25, '1 Pattern 10min  Chart Reading'!W$3, "")</f>
        <v/>
      </c>
      <c r="Z25" s="264" t="str">
        <f>IF('1 Pattern 10min  Chart Reading'!$D$2='4 Hourly RR Chart Reading'!$A25, '1 Pattern 10min  Chart Reading'!X$3, "")</f>
        <v/>
      </c>
      <c r="AA25" s="264" t="str">
        <f>IF('1 Pattern 10min  Chart Reading'!$D$2='4 Hourly RR Chart Reading'!$A25, '1 Pattern 10min  Chart Reading'!Y$3, "")</f>
        <v/>
      </c>
      <c r="AB25" s="264" t="str">
        <f>IF('1 Pattern 10min  Chart Reading'!$D$2='4 Hourly RR Chart Reading'!$A25, '1 Pattern 10min  Chart Reading'!Z$3, "")</f>
        <v/>
      </c>
      <c r="AC25" s="264" t="str">
        <f>IF('1 Pattern 10min  Chart Reading'!$D$2='4 Hourly RR Chart Reading'!$A25, '1 Pattern 10min  Chart Reading'!AA$3, "")</f>
        <v/>
      </c>
      <c r="AD25" s="264" t="str">
        <f>IF('1 Pattern 10min  Chart Reading'!$D$2='4 Hourly RR Chart Reading'!$A25, '1 Pattern 10min  Chart Reading'!AB$3, "")</f>
        <v/>
      </c>
      <c r="AE25" s="264" t="str">
        <f>IF('1 Pattern 10min  Chart Reading'!$D$2='4 Hourly RR Chart Reading'!$A25, '1 Pattern 10min  Chart Reading'!AC$3, "")</f>
        <v/>
      </c>
      <c r="AF25" s="15"/>
      <c r="AG25" s="139" t="str">
        <f t="shared" si="5"/>
        <v/>
      </c>
      <c r="AH25" s="140" t="str">
        <f t="shared" si="6"/>
        <v/>
      </c>
      <c r="AI25" s="140" t="str">
        <f t="shared" si="7"/>
        <v/>
      </c>
      <c r="AJ25" s="141" t="str">
        <f t="shared" si="8"/>
        <v/>
      </c>
      <c r="AK25" s="142" t="str">
        <f t="shared" si="1"/>
        <v/>
      </c>
      <c r="AL25" s="143" t="str">
        <f t="shared" si="2"/>
        <v/>
      </c>
      <c r="AM25" s="143" t="str">
        <f t="shared" si="3"/>
        <v/>
      </c>
      <c r="AN25" s="144" t="str">
        <f t="shared" si="4"/>
        <v/>
      </c>
      <c r="AO25" s="11"/>
      <c r="AP25" s="40"/>
      <c r="AQ25" s="40"/>
      <c r="AR25" s="40"/>
      <c r="AS25" s="40"/>
    </row>
    <row r="26" spans="1:45" ht="13.9" customHeight="1" thickBot="1" x14ac:dyDescent="0.3">
      <c r="A26" s="38">
        <v>15</v>
      </c>
      <c r="B26" s="28"/>
      <c r="C26" s="127">
        <f>'1 Pattern 10min  Chart Reading'!AI17</f>
        <v>0</v>
      </c>
      <c r="D26" s="128">
        <f>'1 Pattern 10min  Chart Reading'!AJ17</f>
        <v>0</v>
      </c>
      <c r="E26" s="128">
        <f>'1 Pattern 10min  Chart Reading'!AK17</f>
        <v>0</v>
      </c>
      <c r="F26" s="129">
        <f>'1 Pattern 10min  Chart Reading'!AL17</f>
        <v>0</v>
      </c>
      <c r="G26" s="108">
        <f t="shared" si="0"/>
        <v>0</v>
      </c>
      <c r="H26" s="264" t="str">
        <f>IF('1 Pattern 10min  Chart Reading'!$D$2='4 Hourly RR Chart Reading'!$A26, '1 Pattern 10min  Chart Reading'!F$3, "")</f>
        <v/>
      </c>
      <c r="I26" s="264" t="str">
        <f>IF('1 Pattern 10min  Chart Reading'!$D$2='4 Hourly RR Chart Reading'!$A26, '1 Pattern 10min  Chart Reading'!G$3, "")</f>
        <v/>
      </c>
      <c r="J26" s="264" t="str">
        <f>IF('1 Pattern 10min  Chart Reading'!$D$2='4 Hourly RR Chart Reading'!$A26, '1 Pattern 10min  Chart Reading'!H$3, "")</f>
        <v/>
      </c>
      <c r="K26" s="264" t="str">
        <f>IF('1 Pattern 10min  Chart Reading'!$D$2='4 Hourly RR Chart Reading'!$A26, '1 Pattern 10min  Chart Reading'!I$3, "")</f>
        <v/>
      </c>
      <c r="L26" s="264" t="str">
        <f>IF('1 Pattern 10min  Chart Reading'!$D$2='4 Hourly RR Chart Reading'!$A26, '1 Pattern 10min  Chart Reading'!J$3, "")</f>
        <v/>
      </c>
      <c r="M26" s="264" t="str">
        <f>IF('1 Pattern 10min  Chart Reading'!$D$2='4 Hourly RR Chart Reading'!$A26, '1 Pattern 10min  Chart Reading'!K$3, "")</f>
        <v/>
      </c>
      <c r="N26" s="264" t="str">
        <f>IF('1 Pattern 10min  Chart Reading'!$D$2='4 Hourly RR Chart Reading'!$A26, '1 Pattern 10min  Chart Reading'!L$3, "")</f>
        <v/>
      </c>
      <c r="O26" s="264" t="str">
        <f>IF('1 Pattern 10min  Chart Reading'!$D$2='4 Hourly RR Chart Reading'!$A26, '1 Pattern 10min  Chart Reading'!M$3, "")</f>
        <v/>
      </c>
      <c r="P26" s="264" t="str">
        <f>IF('1 Pattern 10min  Chart Reading'!$D$2='4 Hourly RR Chart Reading'!$A26, '1 Pattern 10min  Chart Reading'!N$3, "")</f>
        <v/>
      </c>
      <c r="Q26" s="264" t="str">
        <f>IF('1 Pattern 10min  Chart Reading'!$D$2='4 Hourly RR Chart Reading'!$A26, '1 Pattern 10min  Chart Reading'!O$3, "")</f>
        <v/>
      </c>
      <c r="R26" s="264" t="str">
        <f>IF('1 Pattern 10min  Chart Reading'!$D$2='4 Hourly RR Chart Reading'!$A26, '1 Pattern 10min  Chart Reading'!P$3, "")</f>
        <v/>
      </c>
      <c r="S26" s="264" t="str">
        <f>IF('1 Pattern 10min  Chart Reading'!$D$2='4 Hourly RR Chart Reading'!$A26, '1 Pattern 10min  Chart Reading'!Q$3, "")</f>
        <v/>
      </c>
      <c r="T26" s="264" t="str">
        <f>IF('1 Pattern 10min  Chart Reading'!$D$2='4 Hourly RR Chart Reading'!$A26, '1 Pattern 10min  Chart Reading'!R$3, "")</f>
        <v/>
      </c>
      <c r="U26" s="264" t="str">
        <f>IF('1 Pattern 10min  Chart Reading'!$D$2='4 Hourly RR Chart Reading'!$A26, '1 Pattern 10min  Chart Reading'!S$3, "")</f>
        <v/>
      </c>
      <c r="V26" s="264" t="str">
        <f>IF('1 Pattern 10min  Chart Reading'!$D$2='4 Hourly RR Chart Reading'!$A26, '1 Pattern 10min  Chart Reading'!T$3, "")</f>
        <v/>
      </c>
      <c r="W26" s="264" t="str">
        <f>IF('1 Pattern 10min  Chart Reading'!$D$2='4 Hourly RR Chart Reading'!$A26, '1 Pattern 10min  Chart Reading'!U$3, "")</f>
        <v/>
      </c>
      <c r="X26" s="264" t="str">
        <f>IF('1 Pattern 10min  Chart Reading'!$D$2='4 Hourly RR Chart Reading'!$A26, '1 Pattern 10min  Chart Reading'!V$3, "")</f>
        <v/>
      </c>
      <c r="Y26" s="264" t="str">
        <f>IF('1 Pattern 10min  Chart Reading'!$D$2='4 Hourly RR Chart Reading'!$A26, '1 Pattern 10min  Chart Reading'!W$3, "")</f>
        <v/>
      </c>
      <c r="Z26" s="264" t="str">
        <f>IF('1 Pattern 10min  Chart Reading'!$D$2='4 Hourly RR Chart Reading'!$A26, '1 Pattern 10min  Chart Reading'!X$3, "")</f>
        <v/>
      </c>
      <c r="AA26" s="264" t="str">
        <f>IF('1 Pattern 10min  Chart Reading'!$D$2='4 Hourly RR Chart Reading'!$A26, '1 Pattern 10min  Chart Reading'!Y$3, "")</f>
        <v/>
      </c>
      <c r="AB26" s="264" t="str">
        <f>IF('1 Pattern 10min  Chart Reading'!$D$2='4 Hourly RR Chart Reading'!$A26, '1 Pattern 10min  Chart Reading'!Z$3, "")</f>
        <v/>
      </c>
      <c r="AC26" s="264" t="str">
        <f>IF('1 Pattern 10min  Chart Reading'!$D$2='4 Hourly RR Chart Reading'!$A26, '1 Pattern 10min  Chart Reading'!AA$3, "")</f>
        <v/>
      </c>
      <c r="AD26" s="264" t="str">
        <f>IF('1 Pattern 10min  Chart Reading'!$D$2='4 Hourly RR Chart Reading'!$A26, '1 Pattern 10min  Chart Reading'!AB$3, "")</f>
        <v/>
      </c>
      <c r="AE26" s="264" t="str">
        <f>IF('1 Pattern 10min  Chart Reading'!$D$2='4 Hourly RR Chart Reading'!$A26, '1 Pattern 10min  Chart Reading'!AC$3, "")</f>
        <v/>
      </c>
      <c r="AF26" s="15"/>
      <c r="AG26" s="139" t="str">
        <f t="shared" si="5"/>
        <v/>
      </c>
      <c r="AH26" s="140" t="str">
        <f t="shared" si="6"/>
        <v/>
      </c>
      <c r="AI26" s="140" t="str">
        <f t="shared" si="7"/>
        <v/>
      </c>
      <c r="AJ26" s="141" t="str">
        <f t="shared" si="8"/>
        <v/>
      </c>
      <c r="AK26" s="142" t="str">
        <f t="shared" si="1"/>
        <v/>
      </c>
      <c r="AL26" s="143" t="str">
        <f t="shared" si="2"/>
        <v/>
      </c>
      <c r="AM26" s="143" t="str">
        <f t="shared" si="3"/>
        <v/>
      </c>
      <c r="AN26" s="144" t="str">
        <f t="shared" si="4"/>
        <v/>
      </c>
      <c r="AO26" s="11"/>
      <c r="AP26" s="40"/>
      <c r="AQ26" s="40"/>
      <c r="AR26" s="40"/>
      <c r="AS26" s="40"/>
    </row>
    <row r="27" spans="1:45" ht="13.9" customHeight="1" thickBot="1" x14ac:dyDescent="0.3">
      <c r="A27" s="38">
        <v>16</v>
      </c>
      <c r="B27" s="28"/>
      <c r="C27" s="127">
        <f>'1 Pattern 10min  Chart Reading'!AI18</f>
        <v>0</v>
      </c>
      <c r="D27" s="128">
        <f>'1 Pattern 10min  Chart Reading'!AJ18</f>
        <v>0</v>
      </c>
      <c r="E27" s="128">
        <f>'1 Pattern 10min  Chart Reading'!AK18</f>
        <v>0</v>
      </c>
      <c r="F27" s="129">
        <f>'1 Pattern 10min  Chart Reading'!AL18</f>
        <v>0</v>
      </c>
      <c r="G27" s="108">
        <f t="shared" si="0"/>
        <v>0</v>
      </c>
      <c r="H27" s="264" t="str">
        <f>IF('1 Pattern 10min  Chart Reading'!$D$2='4 Hourly RR Chart Reading'!$A27, '1 Pattern 10min  Chart Reading'!F$3, "")</f>
        <v/>
      </c>
      <c r="I27" s="264" t="str">
        <f>IF('1 Pattern 10min  Chart Reading'!$D$2='4 Hourly RR Chart Reading'!$A27, '1 Pattern 10min  Chart Reading'!G$3, "")</f>
        <v/>
      </c>
      <c r="J27" s="264" t="str">
        <f>IF('1 Pattern 10min  Chart Reading'!$D$2='4 Hourly RR Chart Reading'!$A27, '1 Pattern 10min  Chart Reading'!H$3, "")</f>
        <v/>
      </c>
      <c r="K27" s="264" t="str">
        <f>IF('1 Pattern 10min  Chart Reading'!$D$2='4 Hourly RR Chart Reading'!$A27, '1 Pattern 10min  Chart Reading'!I$3, "")</f>
        <v/>
      </c>
      <c r="L27" s="264" t="str">
        <f>IF('1 Pattern 10min  Chart Reading'!$D$2='4 Hourly RR Chart Reading'!$A27, '1 Pattern 10min  Chart Reading'!J$3, "")</f>
        <v/>
      </c>
      <c r="M27" s="264" t="str">
        <f>IF('1 Pattern 10min  Chart Reading'!$D$2='4 Hourly RR Chart Reading'!$A27, '1 Pattern 10min  Chart Reading'!K$3, "")</f>
        <v/>
      </c>
      <c r="N27" s="264" t="str">
        <f>IF('1 Pattern 10min  Chart Reading'!$D$2='4 Hourly RR Chart Reading'!$A27, '1 Pattern 10min  Chart Reading'!L$3, "")</f>
        <v/>
      </c>
      <c r="O27" s="264" t="str">
        <f>IF('1 Pattern 10min  Chart Reading'!$D$2='4 Hourly RR Chart Reading'!$A27, '1 Pattern 10min  Chart Reading'!M$3, "")</f>
        <v/>
      </c>
      <c r="P27" s="264" t="str">
        <f>IF('1 Pattern 10min  Chart Reading'!$D$2='4 Hourly RR Chart Reading'!$A27, '1 Pattern 10min  Chart Reading'!N$3, "")</f>
        <v/>
      </c>
      <c r="Q27" s="264" t="str">
        <f>IF('1 Pattern 10min  Chart Reading'!$D$2='4 Hourly RR Chart Reading'!$A27, '1 Pattern 10min  Chart Reading'!O$3, "")</f>
        <v/>
      </c>
      <c r="R27" s="264" t="str">
        <f>IF('1 Pattern 10min  Chart Reading'!$D$2='4 Hourly RR Chart Reading'!$A27, '1 Pattern 10min  Chart Reading'!P$3, "")</f>
        <v/>
      </c>
      <c r="S27" s="264" t="str">
        <f>IF('1 Pattern 10min  Chart Reading'!$D$2='4 Hourly RR Chart Reading'!$A27, '1 Pattern 10min  Chart Reading'!Q$3, "")</f>
        <v/>
      </c>
      <c r="T27" s="264" t="str">
        <f>IF('1 Pattern 10min  Chart Reading'!$D$2='4 Hourly RR Chart Reading'!$A27, '1 Pattern 10min  Chart Reading'!R$3, "")</f>
        <v/>
      </c>
      <c r="U27" s="264" t="str">
        <f>IF('1 Pattern 10min  Chart Reading'!$D$2='4 Hourly RR Chart Reading'!$A27, '1 Pattern 10min  Chart Reading'!S$3, "")</f>
        <v/>
      </c>
      <c r="V27" s="264" t="str">
        <f>IF('1 Pattern 10min  Chart Reading'!$D$2='4 Hourly RR Chart Reading'!$A27, '1 Pattern 10min  Chart Reading'!T$3, "")</f>
        <v/>
      </c>
      <c r="W27" s="264" t="str">
        <f>IF('1 Pattern 10min  Chart Reading'!$D$2='4 Hourly RR Chart Reading'!$A27, '1 Pattern 10min  Chart Reading'!U$3, "")</f>
        <v/>
      </c>
      <c r="X27" s="264" t="str">
        <f>IF('1 Pattern 10min  Chart Reading'!$D$2='4 Hourly RR Chart Reading'!$A27, '1 Pattern 10min  Chart Reading'!V$3, "")</f>
        <v/>
      </c>
      <c r="Y27" s="264" t="str">
        <f>IF('1 Pattern 10min  Chart Reading'!$D$2='4 Hourly RR Chart Reading'!$A27, '1 Pattern 10min  Chart Reading'!W$3, "")</f>
        <v/>
      </c>
      <c r="Z27" s="264" t="str">
        <f>IF('1 Pattern 10min  Chart Reading'!$D$2='4 Hourly RR Chart Reading'!$A27, '1 Pattern 10min  Chart Reading'!X$3, "")</f>
        <v/>
      </c>
      <c r="AA27" s="264" t="str">
        <f>IF('1 Pattern 10min  Chart Reading'!$D$2='4 Hourly RR Chart Reading'!$A27, '1 Pattern 10min  Chart Reading'!Y$3, "")</f>
        <v/>
      </c>
      <c r="AB27" s="264" t="str">
        <f>IF('1 Pattern 10min  Chart Reading'!$D$2='4 Hourly RR Chart Reading'!$A27, '1 Pattern 10min  Chart Reading'!Z$3, "")</f>
        <v/>
      </c>
      <c r="AC27" s="264" t="str">
        <f>IF('1 Pattern 10min  Chart Reading'!$D$2='4 Hourly RR Chart Reading'!$A27, '1 Pattern 10min  Chart Reading'!AA$3, "")</f>
        <v/>
      </c>
      <c r="AD27" s="264" t="str">
        <f>IF('1 Pattern 10min  Chart Reading'!$D$2='4 Hourly RR Chart Reading'!$A27, '1 Pattern 10min  Chart Reading'!AB$3, "")</f>
        <v/>
      </c>
      <c r="AE27" s="264" t="str">
        <f>IF('1 Pattern 10min  Chart Reading'!$D$2='4 Hourly RR Chart Reading'!$A27, '1 Pattern 10min  Chart Reading'!AC$3, "")</f>
        <v/>
      </c>
      <c r="AF27" s="15"/>
      <c r="AG27" s="139" t="str">
        <f t="shared" si="5"/>
        <v/>
      </c>
      <c r="AH27" s="140" t="str">
        <f t="shared" si="6"/>
        <v/>
      </c>
      <c r="AI27" s="140" t="str">
        <f t="shared" si="7"/>
        <v/>
      </c>
      <c r="AJ27" s="141" t="str">
        <f t="shared" si="8"/>
        <v/>
      </c>
      <c r="AK27" s="142" t="str">
        <f t="shared" si="1"/>
        <v/>
      </c>
      <c r="AL27" s="143" t="str">
        <f t="shared" si="2"/>
        <v/>
      </c>
      <c r="AM27" s="143" t="str">
        <f t="shared" si="3"/>
        <v/>
      </c>
      <c r="AN27" s="144" t="str">
        <f t="shared" si="4"/>
        <v/>
      </c>
      <c r="AO27" s="11"/>
      <c r="AP27" s="40"/>
      <c r="AQ27" s="40"/>
      <c r="AR27" s="40"/>
      <c r="AS27" s="40"/>
    </row>
    <row r="28" spans="1:45" ht="13.9" customHeight="1" thickBot="1" x14ac:dyDescent="0.3">
      <c r="A28" s="38">
        <v>17</v>
      </c>
      <c r="B28" s="28"/>
      <c r="C28" s="127">
        <f>'1 Pattern 10min  Chart Reading'!AI19</f>
        <v>0</v>
      </c>
      <c r="D28" s="128">
        <f>'1 Pattern 10min  Chart Reading'!AJ19</f>
        <v>0</v>
      </c>
      <c r="E28" s="128">
        <f>'1 Pattern 10min  Chart Reading'!AK19</f>
        <v>0</v>
      </c>
      <c r="F28" s="129">
        <f>'1 Pattern 10min  Chart Reading'!AL19</f>
        <v>0</v>
      </c>
      <c r="G28" s="108">
        <f t="shared" si="0"/>
        <v>0</v>
      </c>
      <c r="H28" s="264" t="str">
        <f>IF('1 Pattern 10min  Chart Reading'!$D$2='4 Hourly RR Chart Reading'!$A28, '1 Pattern 10min  Chart Reading'!F$3, "")</f>
        <v/>
      </c>
      <c r="I28" s="264" t="str">
        <f>IF('1 Pattern 10min  Chart Reading'!$D$2='4 Hourly RR Chart Reading'!$A28, '1 Pattern 10min  Chart Reading'!G$3, "")</f>
        <v/>
      </c>
      <c r="J28" s="264" t="str">
        <f>IF('1 Pattern 10min  Chart Reading'!$D$2='4 Hourly RR Chart Reading'!$A28, '1 Pattern 10min  Chart Reading'!H$3, "")</f>
        <v/>
      </c>
      <c r="K28" s="264" t="str">
        <f>IF('1 Pattern 10min  Chart Reading'!$D$2='4 Hourly RR Chart Reading'!$A28, '1 Pattern 10min  Chart Reading'!I$3, "")</f>
        <v/>
      </c>
      <c r="L28" s="264" t="str">
        <f>IF('1 Pattern 10min  Chart Reading'!$D$2='4 Hourly RR Chart Reading'!$A28, '1 Pattern 10min  Chart Reading'!J$3, "")</f>
        <v/>
      </c>
      <c r="M28" s="264" t="str">
        <f>IF('1 Pattern 10min  Chart Reading'!$D$2='4 Hourly RR Chart Reading'!$A28, '1 Pattern 10min  Chart Reading'!K$3, "")</f>
        <v/>
      </c>
      <c r="N28" s="264" t="str">
        <f>IF('1 Pattern 10min  Chart Reading'!$D$2='4 Hourly RR Chart Reading'!$A28, '1 Pattern 10min  Chart Reading'!L$3, "")</f>
        <v/>
      </c>
      <c r="O28" s="264" t="str">
        <f>IF('1 Pattern 10min  Chart Reading'!$D$2='4 Hourly RR Chart Reading'!$A28, '1 Pattern 10min  Chart Reading'!M$3, "")</f>
        <v/>
      </c>
      <c r="P28" s="264" t="str">
        <f>IF('1 Pattern 10min  Chart Reading'!$D$2='4 Hourly RR Chart Reading'!$A28, '1 Pattern 10min  Chart Reading'!N$3, "")</f>
        <v/>
      </c>
      <c r="Q28" s="264" t="str">
        <f>IF('1 Pattern 10min  Chart Reading'!$D$2='4 Hourly RR Chart Reading'!$A28, '1 Pattern 10min  Chart Reading'!O$3, "")</f>
        <v/>
      </c>
      <c r="R28" s="264" t="str">
        <f>IF('1 Pattern 10min  Chart Reading'!$D$2='4 Hourly RR Chart Reading'!$A28, '1 Pattern 10min  Chart Reading'!P$3, "")</f>
        <v/>
      </c>
      <c r="S28" s="264" t="str">
        <f>IF('1 Pattern 10min  Chart Reading'!$D$2='4 Hourly RR Chart Reading'!$A28, '1 Pattern 10min  Chart Reading'!Q$3, "")</f>
        <v/>
      </c>
      <c r="T28" s="264" t="str">
        <f>IF('1 Pattern 10min  Chart Reading'!$D$2='4 Hourly RR Chart Reading'!$A28, '1 Pattern 10min  Chart Reading'!R$3, "")</f>
        <v/>
      </c>
      <c r="U28" s="264" t="str">
        <f>IF('1 Pattern 10min  Chart Reading'!$D$2='4 Hourly RR Chart Reading'!$A28, '1 Pattern 10min  Chart Reading'!S$3, "")</f>
        <v/>
      </c>
      <c r="V28" s="264" t="str">
        <f>IF('1 Pattern 10min  Chart Reading'!$D$2='4 Hourly RR Chart Reading'!$A28, '1 Pattern 10min  Chart Reading'!T$3, "")</f>
        <v/>
      </c>
      <c r="W28" s="264" t="str">
        <f>IF('1 Pattern 10min  Chart Reading'!$D$2='4 Hourly RR Chart Reading'!$A28, '1 Pattern 10min  Chart Reading'!U$3, "")</f>
        <v/>
      </c>
      <c r="X28" s="264" t="str">
        <f>IF('1 Pattern 10min  Chart Reading'!$D$2='4 Hourly RR Chart Reading'!$A28, '1 Pattern 10min  Chart Reading'!V$3, "")</f>
        <v/>
      </c>
      <c r="Y28" s="264" t="str">
        <f>IF('1 Pattern 10min  Chart Reading'!$D$2='4 Hourly RR Chart Reading'!$A28, '1 Pattern 10min  Chart Reading'!W$3, "")</f>
        <v/>
      </c>
      <c r="Z28" s="264" t="str">
        <f>IF('1 Pattern 10min  Chart Reading'!$D$2='4 Hourly RR Chart Reading'!$A28, '1 Pattern 10min  Chart Reading'!X$3, "")</f>
        <v/>
      </c>
      <c r="AA28" s="264" t="str">
        <f>IF('1 Pattern 10min  Chart Reading'!$D$2='4 Hourly RR Chart Reading'!$A28, '1 Pattern 10min  Chart Reading'!Y$3, "")</f>
        <v/>
      </c>
      <c r="AB28" s="264" t="str">
        <f>IF('1 Pattern 10min  Chart Reading'!$D$2='4 Hourly RR Chart Reading'!$A28, '1 Pattern 10min  Chart Reading'!Z$3, "")</f>
        <v/>
      </c>
      <c r="AC28" s="264" t="str">
        <f>IF('1 Pattern 10min  Chart Reading'!$D$2='4 Hourly RR Chart Reading'!$A28, '1 Pattern 10min  Chart Reading'!AA$3, "")</f>
        <v/>
      </c>
      <c r="AD28" s="264" t="str">
        <f>IF('1 Pattern 10min  Chart Reading'!$D$2='4 Hourly RR Chart Reading'!$A28, '1 Pattern 10min  Chart Reading'!AB$3, "")</f>
        <v/>
      </c>
      <c r="AE28" s="264" t="str">
        <f>IF('1 Pattern 10min  Chart Reading'!$D$2='4 Hourly RR Chart Reading'!$A28, '1 Pattern 10min  Chart Reading'!AC$3, "")</f>
        <v/>
      </c>
      <c r="AF28" s="15"/>
      <c r="AG28" s="139" t="str">
        <f t="shared" si="5"/>
        <v/>
      </c>
      <c r="AH28" s="140" t="str">
        <f t="shared" si="6"/>
        <v/>
      </c>
      <c r="AI28" s="140" t="str">
        <f t="shared" si="7"/>
        <v/>
      </c>
      <c r="AJ28" s="141" t="str">
        <f t="shared" si="8"/>
        <v/>
      </c>
      <c r="AK28" s="142" t="str">
        <f t="shared" si="1"/>
        <v/>
      </c>
      <c r="AL28" s="143" t="str">
        <f t="shared" si="2"/>
        <v/>
      </c>
      <c r="AM28" s="143" t="str">
        <f t="shared" si="3"/>
        <v/>
      </c>
      <c r="AN28" s="144" t="str">
        <f t="shared" si="4"/>
        <v/>
      </c>
      <c r="AO28" s="11"/>
      <c r="AP28" s="40"/>
      <c r="AQ28" s="40"/>
      <c r="AR28" s="40"/>
      <c r="AS28" s="40"/>
    </row>
    <row r="29" spans="1:45" ht="13.9" customHeight="1" thickBot="1" x14ac:dyDescent="0.3">
      <c r="A29" s="38">
        <v>18</v>
      </c>
      <c r="B29" s="28"/>
      <c r="C29" s="127">
        <f>'1 Pattern 10min  Chart Reading'!AI20</f>
        <v>0</v>
      </c>
      <c r="D29" s="128">
        <f>'1 Pattern 10min  Chart Reading'!AJ20</f>
        <v>0</v>
      </c>
      <c r="E29" s="128">
        <f>'1 Pattern 10min  Chart Reading'!AK20</f>
        <v>0</v>
      </c>
      <c r="F29" s="129">
        <f>'1 Pattern 10min  Chart Reading'!AL20</f>
        <v>0</v>
      </c>
      <c r="G29" s="108">
        <f t="shared" si="0"/>
        <v>0</v>
      </c>
      <c r="H29" s="264" t="str">
        <f>IF('1 Pattern 10min  Chart Reading'!$D$2='4 Hourly RR Chart Reading'!$A29, '1 Pattern 10min  Chart Reading'!F$3, "")</f>
        <v/>
      </c>
      <c r="I29" s="264" t="str">
        <f>IF('1 Pattern 10min  Chart Reading'!$D$2='4 Hourly RR Chart Reading'!$A29, '1 Pattern 10min  Chart Reading'!G$3, "")</f>
        <v/>
      </c>
      <c r="J29" s="264" t="str">
        <f>IF('1 Pattern 10min  Chart Reading'!$D$2='4 Hourly RR Chart Reading'!$A29, '1 Pattern 10min  Chart Reading'!H$3, "")</f>
        <v/>
      </c>
      <c r="K29" s="264" t="str">
        <f>IF('1 Pattern 10min  Chart Reading'!$D$2='4 Hourly RR Chart Reading'!$A29, '1 Pattern 10min  Chart Reading'!I$3, "")</f>
        <v/>
      </c>
      <c r="L29" s="264" t="str">
        <f>IF('1 Pattern 10min  Chart Reading'!$D$2='4 Hourly RR Chart Reading'!$A29, '1 Pattern 10min  Chart Reading'!J$3, "")</f>
        <v/>
      </c>
      <c r="M29" s="264" t="str">
        <f>IF('1 Pattern 10min  Chart Reading'!$D$2='4 Hourly RR Chart Reading'!$A29, '1 Pattern 10min  Chart Reading'!K$3, "")</f>
        <v/>
      </c>
      <c r="N29" s="264" t="str">
        <f>IF('1 Pattern 10min  Chart Reading'!$D$2='4 Hourly RR Chart Reading'!$A29, '1 Pattern 10min  Chart Reading'!L$3, "")</f>
        <v/>
      </c>
      <c r="O29" s="264" t="str">
        <f>IF('1 Pattern 10min  Chart Reading'!$D$2='4 Hourly RR Chart Reading'!$A29, '1 Pattern 10min  Chart Reading'!M$3, "")</f>
        <v/>
      </c>
      <c r="P29" s="264" t="str">
        <f>IF('1 Pattern 10min  Chart Reading'!$D$2='4 Hourly RR Chart Reading'!$A29, '1 Pattern 10min  Chart Reading'!N$3, "")</f>
        <v/>
      </c>
      <c r="Q29" s="264" t="str">
        <f>IF('1 Pattern 10min  Chart Reading'!$D$2='4 Hourly RR Chart Reading'!$A29, '1 Pattern 10min  Chart Reading'!O$3, "")</f>
        <v/>
      </c>
      <c r="R29" s="264" t="str">
        <f>IF('1 Pattern 10min  Chart Reading'!$D$2='4 Hourly RR Chart Reading'!$A29, '1 Pattern 10min  Chart Reading'!P$3, "")</f>
        <v/>
      </c>
      <c r="S29" s="264" t="str">
        <f>IF('1 Pattern 10min  Chart Reading'!$D$2='4 Hourly RR Chart Reading'!$A29, '1 Pattern 10min  Chart Reading'!Q$3, "")</f>
        <v/>
      </c>
      <c r="T29" s="264" t="str">
        <f>IF('1 Pattern 10min  Chart Reading'!$D$2='4 Hourly RR Chart Reading'!$A29, '1 Pattern 10min  Chart Reading'!R$3, "")</f>
        <v/>
      </c>
      <c r="U29" s="264" t="str">
        <f>IF('1 Pattern 10min  Chart Reading'!$D$2='4 Hourly RR Chart Reading'!$A29, '1 Pattern 10min  Chart Reading'!S$3, "")</f>
        <v/>
      </c>
      <c r="V29" s="264" t="str">
        <f>IF('1 Pattern 10min  Chart Reading'!$D$2='4 Hourly RR Chart Reading'!$A29, '1 Pattern 10min  Chart Reading'!T$3, "")</f>
        <v/>
      </c>
      <c r="W29" s="264" t="str">
        <f>IF('1 Pattern 10min  Chart Reading'!$D$2='4 Hourly RR Chart Reading'!$A29, '1 Pattern 10min  Chart Reading'!U$3, "")</f>
        <v/>
      </c>
      <c r="X29" s="264" t="str">
        <f>IF('1 Pattern 10min  Chart Reading'!$D$2='4 Hourly RR Chart Reading'!$A29, '1 Pattern 10min  Chart Reading'!V$3, "")</f>
        <v/>
      </c>
      <c r="Y29" s="264" t="str">
        <f>IF('1 Pattern 10min  Chart Reading'!$D$2='4 Hourly RR Chart Reading'!$A29, '1 Pattern 10min  Chart Reading'!W$3, "")</f>
        <v/>
      </c>
      <c r="Z29" s="264" t="str">
        <f>IF('1 Pattern 10min  Chart Reading'!$D$2='4 Hourly RR Chart Reading'!$A29, '1 Pattern 10min  Chart Reading'!X$3, "")</f>
        <v/>
      </c>
      <c r="AA29" s="264" t="str">
        <f>IF('1 Pattern 10min  Chart Reading'!$D$2='4 Hourly RR Chart Reading'!$A29, '1 Pattern 10min  Chart Reading'!Y$3, "")</f>
        <v/>
      </c>
      <c r="AB29" s="264" t="str">
        <f>IF('1 Pattern 10min  Chart Reading'!$D$2='4 Hourly RR Chart Reading'!$A29, '1 Pattern 10min  Chart Reading'!Z$3, "")</f>
        <v/>
      </c>
      <c r="AC29" s="264" t="str">
        <f>IF('1 Pattern 10min  Chart Reading'!$D$2='4 Hourly RR Chart Reading'!$A29, '1 Pattern 10min  Chart Reading'!AA$3, "")</f>
        <v/>
      </c>
      <c r="AD29" s="264" t="str">
        <f>IF('1 Pattern 10min  Chart Reading'!$D$2='4 Hourly RR Chart Reading'!$A29, '1 Pattern 10min  Chart Reading'!AB$3, "")</f>
        <v/>
      </c>
      <c r="AE29" s="264" t="str">
        <f>IF('1 Pattern 10min  Chart Reading'!$D$2='4 Hourly RR Chart Reading'!$A29, '1 Pattern 10min  Chart Reading'!AC$3, "")</f>
        <v/>
      </c>
      <c r="AF29" s="16"/>
      <c r="AG29" s="139" t="str">
        <f t="shared" si="5"/>
        <v/>
      </c>
      <c r="AH29" s="140" t="str">
        <f t="shared" si="6"/>
        <v/>
      </c>
      <c r="AI29" s="140" t="str">
        <f t="shared" si="7"/>
        <v/>
      </c>
      <c r="AJ29" s="141" t="str">
        <f t="shared" si="8"/>
        <v/>
      </c>
      <c r="AK29" s="142" t="str">
        <f t="shared" si="1"/>
        <v/>
      </c>
      <c r="AL29" s="143" t="str">
        <f t="shared" si="2"/>
        <v/>
      </c>
      <c r="AM29" s="143" t="str">
        <f t="shared" si="3"/>
        <v/>
      </c>
      <c r="AN29" s="144" t="str">
        <f t="shared" si="4"/>
        <v/>
      </c>
      <c r="AO29" s="11"/>
      <c r="AP29" s="40"/>
      <c r="AQ29" s="40"/>
      <c r="AR29" s="40"/>
      <c r="AS29" s="40"/>
    </row>
    <row r="30" spans="1:45" ht="13.9" customHeight="1" thickBot="1" x14ac:dyDescent="0.3">
      <c r="A30" s="38">
        <v>19</v>
      </c>
      <c r="B30" s="28"/>
      <c r="C30" s="127">
        <f>'1 Pattern 10min  Chart Reading'!AI21</f>
        <v>0</v>
      </c>
      <c r="D30" s="128">
        <f>'1 Pattern 10min  Chart Reading'!AJ21</f>
        <v>0</v>
      </c>
      <c r="E30" s="128">
        <f>'1 Pattern 10min  Chart Reading'!AK21</f>
        <v>0</v>
      </c>
      <c r="F30" s="129">
        <f>'1 Pattern 10min  Chart Reading'!AL21</f>
        <v>0</v>
      </c>
      <c r="G30" s="108">
        <f t="shared" si="0"/>
        <v>0</v>
      </c>
      <c r="H30" s="264" t="str">
        <f>IF('1 Pattern 10min  Chart Reading'!$D$2='4 Hourly RR Chart Reading'!$A30, '1 Pattern 10min  Chart Reading'!F$3, "")</f>
        <v/>
      </c>
      <c r="I30" s="264" t="str">
        <f>IF('1 Pattern 10min  Chart Reading'!$D$2='4 Hourly RR Chart Reading'!$A30, '1 Pattern 10min  Chart Reading'!G$3, "")</f>
        <v/>
      </c>
      <c r="J30" s="264" t="str">
        <f>IF('1 Pattern 10min  Chart Reading'!$D$2='4 Hourly RR Chart Reading'!$A30, '1 Pattern 10min  Chart Reading'!H$3, "")</f>
        <v/>
      </c>
      <c r="K30" s="264" t="str">
        <f>IF('1 Pattern 10min  Chart Reading'!$D$2='4 Hourly RR Chart Reading'!$A30, '1 Pattern 10min  Chart Reading'!I$3, "")</f>
        <v/>
      </c>
      <c r="L30" s="264" t="str">
        <f>IF('1 Pattern 10min  Chart Reading'!$D$2='4 Hourly RR Chart Reading'!$A30, '1 Pattern 10min  Chart Reading'!J$3, "")</f>
        <v/>
      </c>
      <c r="M30" s="264" t="str">
        <f>IF('1 Pattern 10min  Chart Reading'!$D$2='4 Hourly RR Chart Reading'!$A30, '1 Pattern 10min  Chart Reading'!K$3, "")</f>
        <v/>
      </c>
      <c r="N30" s="264" t="str">
        <f>IF('1 Pattern 10min  Chart Reading'!$D$2='4 Hourly RR Chart Reading'!$A30, '1 Pattern 10min  Chart Reading'!L$3, "")</f>
        <v/>
      </c>
      <c r="O30" s="264" t="str">
        <f>IF('1 Pattern 10min  Chart Reading'!$D$2='4 Hourly RR Chart Reading'!$A30, '1 Pattern 10min  Chart Reading'!M$3, "")</f>
        <v/>
      </c>
      <c r="P30" s="264" t="str">
        <f>IF('1 Pattern 10min  Chart Reading'!$D$2='4 Hourly RR Chart Reading'!$A30, '1 Pattern 10min  Chart Reading'!N$3, "")</f>
        <v/>
      </c>
      <c r="Q30" s="264" t="str">
        <f>IF('1 Pattern 10min  Chart Reading'!$D$2='4 Hourly RR Chart Reading'!$A30, '1 Pattern 10min  Chart Reading'!O$3, "")</f>
        <v/>
      </c>
      <c r="R30" s="264" t="str">
        <f>IF('1 Pattern 10min  Chart Reading'!$D$2='4 Hourly RR Chart Reading'!$A30, '1 Pattern 10min  Chart Reading'!P$3, "")</f>
        <v/>
      </c>
      <c r="S30" s="264" t="str">
        <f>IF('1 Pattern 10min  Chart Reading'!$D$2='4 Hourly RR Chart Reading'!$A30, '1 Pattern 10min  Chart Reading'!Q$3, "")</f>
        <v/>
      </c>
      <c r="T30" s="264" t="str">
        <f>IF('1 Pattern 10min  Chart Reading'!$D$2='4 Hourly RR Chart Reading'!$A30, '1 Pattern 10min  Chart Reading'!R$3, "")</f>
        <v/>
      </c>
      <c r="U30" s="264" t="str">
        <f>IF('1 Pattern 10min  Chart Reading'!$D$2='4 Hourly RR Chart Reading'!$A30, '1 Pattern 10min  Chart Reading'!S$3, "")</f>
        <v/>
      </c>
      <c r="V30" s="264" t="str">
        <f>IF('1 Pattern 10min  Chart Reading'!$D$2='4 Hourly RR Chart Reading'!$A30, '1 Pattern 10min  Chart Reading'!T$3, "")</f>
        <v/>
      </c>
      <c r="W30" s="264" t="str">
        <f>IF('1 Pattern 10min  Chart Reading'!$D$2='4 Hourly RR Chart Reading'!$A30, '1 Pattern 10min  Chart Reading'!U$3, "")</f>
        <v/>
      </c>
      <c r="X30" s="264" t="str">
        <f>IF('1 Pattern 10min  Chart Reading'!$D$2='4 Hourly RR Chart Reading'!$A30, '1 Pattern 10min  Chart Reading'!V$3, "")</f>
        <v/>
      </c>
      <c r="Y30" s="264" t="str">
        <f>IF('1 Pattern 10min  Chart Reading'!$D$2='4 Hourly RR Chart Reading'!$A30, '1 Pattern 10min  Chart Reading'!W$3, "")</f>
        <v/>
      </c>
      <c r="Z30" s="264" t="str">
        <f>IF('1 Pattern 10min  Chart Reading'!$D$2='4 Hourly RR Chart Reading'!$A30, '1 Pattern 10min  Chart Reading'!X$3, "")</f>
        <v/>
      </c>
      <c r="AA30" s="264" t="str">
        <f>IF('1 Pattern 10min  Chart Reading'!$D$2='4 Hourly RR Chart Reading'!$A30, '1 Pattern 10min  Chart Reading'!Y$3, "")</f>
        <v/>
      </c>
      <c r="AB30" s="264" t="str">
        <f>IF('1 Pattern 10min  Chart Reading'!$D$2='4 Hourly RR Chart Reading'!$A30, '1 Pattern 10min  Chart Reading'!Z$3, "")</f>
        <v/>
      </c>
      <c r="AC30" s="264" t="str">
        <f>IF('1 Pattern 10min  Chart Reading'!$D$2='4 Hourly RR Chart Reading'!$A30, '1 Pattern 10min  Chart Reading'!AA$3, "")</f>
        <v/>
      </c>
      <c r="AD30" s="264" t="str">
        <f>IF('1 Pattern 10min  Chart Reading'!$D$2='4 Hourly RR Chart Reading'!$A30, '1 Pattern 10min  Chart Reading'!AB$3, "")</f>
        <v/>
      </c>
      <c r="AE30" s="264" t="str">
        <f>IF('1 Pattern 10min  Chart Reading'!$D$2='4 Hourly RR Chart Reading'!$A30, '1 Pattern 10min  Chart Reading'!AC$3, "")</f>
        <v/>
      </c>
      <c r="AF30" s="15"/>
      <c r="AG30" s="139" t="str">
        <f t="shared" si="5"/>
        <v/>
      </c>
      <c r="AH30" s="140" t="str">
        <f t="shared" si="6"/>
        <v/>
      </c>
      <c r="AI30" s="140" t="str">
        <f t="shared" si="7"/>
        <v/>
      </c>
      <c r="AJ30" s="141" t="str">
        <f t="shared" si="8"/>
        <v/>
      </c>
      <c r="AK30" s="142" t="str">
        <f t="shared" si="1"/>
        <v/>
      </c>
      <c r="AL30" s="143" t="str">
        <f t="shared" si="2"/>
        <v/>
      </c>
      <c r="AM30" s="143" t="str">
        <f t="shared" si="3"/>
        <v/>
      </c>
      <c r="AN30" s="144" t="str">
        <f t="shared" si="4"/>
        <v/>
      </c>
      <c r="AO30" s="11"/>
      <c r="AP30" s="40"/>
      <c r="AQ30" s="40"/>
      <c r="AR30" s="40"/>
      <c r="AS30" s="40"/>
    </row>
    <row r="31" spans="1:45" ht="13.9" customHeight="1" thickBot="1" x14ac:dyDescent="0.3">
      <c r="A31" s="38">
        <v>20</v>
      </c>
      <c r="B31" s="28"/>
      <c r="C31" s="127">
        <f>'1 Pattern 10min  Chart Reading'!AI22</f>
        <v>0</v>
      </c>
      <c r="D31" s="128">
        <f>'1 Pattern 10min  Chart Reading'!AJ22</f>
        <v>0</v>
      </c>
      <c r="E31" s="128">
        <f>'1 Pattern 10min  Chart Reading'!AK22</f>
        <v>0</v>
      </c>
      <c r="F31" s="129">
        <f>'1 Pattern 10min  Chart Reading'!AL22</f>
        <v>0</v>
      </c>
      <c r="G31" s="108">
        <f t="shared" si="0"/>
        <v>0</v>
      </c>
      <c r="H31" s="264" t="str">
        <f>IF('1 Pattern 10min  Chart Reading'!$D$2='4 Hourly RR Chart Reading'!$A31, '1 Pattern 10min  Chart Reading'!F$3, "")</f>
        <v/>
      </c>
      <c r="I31" s="264" t="str">
        <f>IF('1 Pattern 10min  Chart Reading'!$D$2='4 Hourly RR Chart Reading'!$A31, '1 Pattern 10min  Chart Reading'!G$3, "")</f>
        <v/>
      </c>
      <c r="J31" s="264" t="str">
        <f>IF('1 Pattern 10min  Chart Reading'!$D$2='4 Hourly RR Chart Reading'!$A31, '1 Pattern 10min  Chart Reading'!H$3, "")</f>
        <v/>
      </c>
      <c r="K31" s="264" t="str">
        <f>IF('1 Pattern 10min  Chart Reading'!$D$2='4 Hourly RR Chart Reading'!$A31, '1 Pattern 10min  Chart Reading'!I$3, "")</f>
        <v/>
      </c>
      <c r="L31" s="264" t="str">
        <f>IF('1 Pattern 10min  Chart Reading'!$D$2='4 Hourly RR Chart Reading'!$A31, '1 Pattern 10min  Chart Reading'!J$3, "")</f>
        <v/>
      </c>
      <c r="M31" s="264" t="str">
        <f>IF('1 Pattern 10min  Chart Reading'!$D$2='4 Hourly RR Chart Reading'!$A31, '1 Pattern 10min  Chart Reading'!K$3, "")</f>
        <v/>
      </c>
      <c r="N31" s="264" t="str">
        <f>IF('1 Pattern 10min  Chart Reading'!$D$2='4 Hourly RR Chart Reading'!$A31, '1 Pattern 10min  Chart Reading'!L$3, "")</f>
        <v/>
      </c>
      <c r="O31" s="264" t="str">
        <f>IF('1 Pattern 10min  Chart Reading'!$D$2='4 Hourly RR Chart Reading'!$A31, '1 Pattern 10min  Chart Reading'!M$3, "")</f>
        <v/>
      </c>
      <c r="P31" s="264" t="str">
        <f>IF('1 Pattern 10min  Chart Reading'!$D$2='4 Hourly RR Chart Reading'!$A31, '1 Pattern 10min  Chart Reading'!N$3, "")</f>
        <v/>
      </c>
      <c r="Q31" s="264" t="str">
        <f>IF('1 Pattern 10min  Chart Reading'!$D$2='4 Hourly RR Chart Reading'!$A31, '1 Pattern 10min  Chart Reading'!O$3, "")</f>
        <v/>
      </c>
      <c r="R31" s="264" t="str">
        <f>IF('1 Pattern 10min  Chart Reading'!$D$2='4 Hourly RR Chart Reading'!$A31, '1 Pattern 10min  Chart Reading'!P$3, "")</f>
        <v/>
      </c>
      <c r="S31" s="264" t="str">
        <f>IF('1 Pattern 10min  Chart Reading'!$D$2='4 Hourly RR Chart Reading'!$A31, '1 Pattern 10min  Chart Reading'!Q$3, "")</f>
        <v/>
      </c>
      <c r="T31" s="264" t="str">
        <f>IF('1 Pattern 10min  Chart Reading'!$D$2='4 Hourly RR Chart Reading'!$A31, '1 Pattern 10min  Chart Reading'!R$3, "")</f>
        <v/>
      </c>
      <c r="U31" s="264" t="str">
        <f>IF('1 Pattern 10min  Chart Reading'!$D$2='4 Hourly RR Chart Reading'!$A31, '1 Pattern 10min  Chart Reading'!S$3, "")</f>
        <v/>
      </c>
      <c r="V31" s="264" t="str">
        <f>IF('1 Pattern 10min  Chart Reading'!$D$2='4 Hourly RR Chart Reading'!$A31, '1 Pattern 10min  Chart Reading'!T$3, "")</f>
        <v/>
      </c>
      <c r="W31" s="264" t="str">
        <f>IF('1 Pattern 10min  Chart Reading'!$D$2='4 Hourly RR Chart Reading'!$A31, '1 Pattern 10min  Chart Reading'!U$3, "")</f>
        <v/>
      </c>
      <c r="X31" s="264" t="str">
        <f>IF('1 Pattern 10min  Chart Reading'!$D$2='4 Hourly RR Chart Reading'!$A31, '1 Pattern 10min  Chart Reading'!V$3, "")</f>
        <v/>
      </c>
      <c r="Y31" s="264" t="str">
        <f>IF('1 Pattern 10min  Chart Reading'!$D$2='4 Hourly RR Chart Reading'!$A31, '1 Pattern 10min  Chart Reading'!W$3, "")</f>
        <v/>
      </c>
      <c r="Z31" s="264" t="str">
        <f>IF('1 Pattern 10min  Chart Reading'!$D$2='4 Hourly RR Chart Reading'!$A31, '1 Pattern 10min  Chart Reading'!X$3, "")</f>
        <v/>
      </c>
      <c r="AA31" s="264" t="str">
        <f>IF('1 Pattern 10min  Chart Reading'!$D$2='4 Hourly RR Chart Reading'!$A31, '1 Pattern 10min  Chart Reading'!Y$3, "")</f>
        <v/>
      </c>
      <c r="AB31" s="264" t="str">
        <f>IF('1 Pattern 10min  Chart Reading'!$D$2='4 Hourly RR Chart Reading'!$A31, '1 Pattern 10min  Chart Reading'!Z$3, "")</f>
        <v/>
      </c>
      <c r="AC31" s="264" t="str">
        <f>IF('1 Pattern 10min  Chart Reading'!$D$2='4 Hourly RR Chart Reading'!$A31, '1 Pattern 10min  Chart Reading'!AA$3, "")</f>
        <v/>
      </c>
      <c r="AD31" s="264" t="str">
        <f>IF('1 Pattern 10min  Chart Reading'!$D$2='4 Hourly RR Chart Reading'!$A31, '1 Pattern 10min  Chart Reading'!AB$3, "")</f>
        <v/>
      </c>
      <c r="AE31" s="264" t="str">
        <f>IF('1 Pattern 10min  Chart Reading'!$D$2='4 Hourly RR Chart Reading'!$A31, '1 Pattern 10min  Chart Reading'!AC$3, "")</f>
        <v/>
      </c>
      <c r="AF31" s="15"/>
      <c r="AG31" s="139" t="str">
        <f t="shared" si="5"/>
        <v/>
      </c>
      <c r="AH31" s="140" t="str">
        <f t="shared" si="6"/>
        <v/>
      </c>
      <c r="AI31" s="140" t="str">
        <f t="shared" si="7"/>
        <v/>
      </c>
      <c r="AJ31" s="141" t="str">
        <f t="shared" si="8"/>
        <v/>
      </c>
      <c r="AK31" s="142" t="str">
        <f t="shared" si="1"/>
        <v/>
      </c>
      <c r="AL31" s="143" t="str">
        <f t="shared" si="2"/>
        <v/>
      </c>
      <c r="AM31" s="143" t="str">
        <f t="shared" si="3"/>
        <v/>
      </c>
      <c r="AN31" s="144" t="str">
        <f t="shared" si="4"/>
        <v/>
      </c>
      <c r="AO31" s="11"/>
      <c r="AP31" s="40"/>
      <c r="AQ31" s="40"/>
      <c r="AR31" s="40"/>
      <c r="AS31" s="40"/>
    </row>
    <row r="32" spans="1:45" ht="13.9" customHeight="1" thickBot="1" x14ac:dyDescent="0.3">
      <c r="A32" s="38">
        <v>21</v>
      </c>
      <c r="B32" s="28"/>
      <c r="C32" s="127">
        <f>'1 Pattern 10min  Chart Reading'!AI23</f>
        <v>0</v>
      </c>
      <c r="D32" s="128">
        <f>'1 Pattern 10min  Chart Reading'!AJ23</f>
        <v>0</v>
      </c>
      <c r="E32" s="128">
        <f>'1 Pattern 10min  Chart Reading'!AK23</f>
        <v>0</v>
      </c>
      <c r="F32" s="129">
        <f>'1 Pattern 10min  Chart Reading'!AL23</f>
        <v>0</v>
      </c>
      <c r="G32" s="108">
        <f t="shared" si="0"/>
        <v>0</v>
      </c>
      <c r="H32" s="264" t="str">
        <f>IF('1 Pattern 10min  Chart Reading'!$D$2='4 Hourly RR Chart Reading'!$A32, '1 Pattern 10min  Chart Reading'!F$3, "")</f>
        <v/>
      </c>
      <c r="I32" s="264" t="str">
        <f>IF('1 Pattern 10min  Chart Reading'!$D$2='4 Hourly RR Chart Reading'!$A32, '1 Pattern 10min  Chart Reading'!G$3, "")</f>
        <v/>
      </c>
      <c r="J32" s="264" t="str">
        <f>IF('1 Pattern 10min  Chart Reading'!$D$2='4 Hourly RR Chart Reading'!$A32, '1 Pattern 10min  Chart Reading'!H$3, "")</f>
        <v/>
      </c>
      <c r="K32" s="264" t="str">
        <f>IF('1 Pattern 10min  Chart Reading'!$D$2='4 Hourly RR Chart Reading'!$A32, '1 Pattern 10min  Chart Reading'!I$3, "")</f>
        <v/>
      </c>
      <c r="L32" s="264" t="str">
        <f>IF('1 Pattern 10min  Chart Reading'!$D$2='4 Hourly RR Chart Reading'!$A32, '1 Pattern 10min  Chart Reading'!J$3, "")</f>
        <v/>
      </c>
      <c r="M32" s="264" t="str">
        <f>IF('1 Pattern 10min  Chart Reading'!$D$2='4 Hourly RR Chart Reading'!$A32, '1 Pattern 10min  Chart Reading'!K$3, "")</f>
        <v/>
      </c>
      <c r="N32" s="264" t="str">
        <f>IF('1 Pattern 10min  Chart Reading'!$D$2='4 Hourly RR Chart Reading'!$A32, '1 Pattern 10min  Chart Reading'!L$3, "")</f>
        <v/>
      </c>
      <c r="O32" s="264" t="str">
        <f>IF('1 Pattern 10min  Chart Reading'!$D$2='4 Hourly RR Chart Reading'!$A32, '1 Pattern 10min  Chart Reading'!M$3, "")</f>
        <v/>
      </c>
      <c r="P32" s="264" t="str">
        <f>IF('1 Pattern 10min  Chart Reading'!$D$2='4 Hourly RR Chart Reading'!$A32, '1 Pattern 10min  Chart Reading'!N$3, "")</f>
        <v/>
      </c>
      <c r="Q32" s="264" t="str">
        <f>IF('1 Pattern 10min  Chart Reading'!$D$2='4 Hourly RR Chart Reading'!$A32, '1 Pattern 10min  Chart Reading'!O$3, "")</f>
        <v/>
      </c>
      <c r="R32" s="264" t="str">
        <f>IF('1 Pattern 10min  Chart Reading'!$D$2='4 Hourly RR Chart Reading'!$A32, '1 Pattern 10min  Chart Reading'!P$3, "")</f>
        <v/>
      </c>
      <c r="S32" s="264" t="str">
        <f>IF('1 Pattern 10min  Chart Reading'!$D$2='4 Hourly RR Chart Reading'!$A32, '1 Pattern 10min  Chart Reading'!Q$3, "")</f>
        <v/>
      </c>
      <c r="T32" s="264" t="str">
        <f>IF('1 Pattern 10min  Chart Reading'!$D$2='4 Hourly RR Chart Reading'!$A32, '1 Pattern 10min  Chart Reading'!R$3, "")</f>
        <v/>
      </c>
      <c r="U32" s="264" t="str">
        <f>IF('1 Pattern 10min  Chart Reading'!$D$2='4 Hourly RR Chart Reading'!$A32, '1 Pattern 10min  Chart Reading'!S$3, "")</f>
        <v/>
      </c>
      <c r="V32" s="264" t="str">
        <f>IF('1 Pattern 10min  Chart Reading'!$D$2='4 Hourly RR Chart Reading'!$A32, '1 Pattern 10min  Chart Reading'!T$3, "")</f>
        <v/>
      </c>
      <c r="W32" s="264" t="str">
        <f>IF('1 Pattern 10min  Chart Reading'!$D$2='4 Hourly RR Chart Reading'!$A32, '1 Pattern 10min  Chart Reading'!U$3, "")</f>
        <v/>
      </c>
      <c r="X32" s="264" t="str">
        <f>IF('1 Pattern 10min  Chart Reading'!$D$2='4 Hourly RR Chart Reading'!$A32, '1 Pattern 10min  Chart Reading'!V$3, "")</f>
        <v/>
      </c>
      <c r="Y32" s="264" t="str">
        <f>IF('1 Pattern 10min  Chart Reading'!$D$2='4 Hourly RR Chart Reading'!$A32, '1 Pattern 10min  Chart Reading'!W$3, "")</f>
        <v/>
      </c>
      <c r="Z32" s="264" t="str">
        <f>IF('1 Pattern 10min  Chart Reading'!$D$2='4 Hourly RR Chart Reading'!$A32, '1 Pattern 10min  Chart Reading'!X$3, "")</f>
        <v/>
      </c>
      <c r="AA32" s="264" t="str">
        <f>IF('1 Pattern 10min  Chart Reading'!$D$2='4 Hourly RR Chart Reading'!$A32, '1 Pattern 10min  Chart Reading'!Y$3, "")</f>
        <v/>
      </c>
      <c r="AB32" s="264" t="str">
        <f>IF('1 Pattern 10min  Chart Reading'!$D$2='4 Hourly RR Chart Reading'!$A32, '1 Pattern 10min  Chart Reading'!Z$3, "")</f>
        <v/>
      </c>
      <c r="AC32" s="264" t="str">
        <f>IF('1 Pattern 10min  Chart Reading'!$D$2='4 Hourly RR Chart Reading'!$A32, '1 Pattern 10min  Chart Reading'!AA$3, "")</f>
        <v/>
      </c>
      <c r="AD32" s="264" t="str">
        <f>IF('1 Pattern 10min  Chart Reading'!$D$2='4 Hourly RR Chart Reading'!$A32, '1 Pattern 10min  Chart Reading'!AB$3, "")</f>
        <v/>
      </c>
      <c r="AE32" s="264" t="str">
        <f>IF('1 Pattern 10min  Chart Reading'!$D$2='4 Hourly RR Chart Reading'!$A32, '1 Pattern 10min  Chart Reading'!AC$3, "")</f>
        <v/>
      </c>
      <c r="AF32" s="15"/>
      <c r="AG32" s="139" t="str">
        <f t="shared" si="5"/>
        <v/>
      </c>
      <c r="AH32" s="140" t="str">
        <f t="shared" si="6"/>
        <v/>
      </c>
      <c r="AI32" s="140" t="str">
        <f t="shared" si="7"/>
        <v/>
      </c>
      <c r="AJ32" s="141" t="str">
        <f t="shared" si="8"/>
        <v/>
      </c>
      <c r="AK32" s="142" t="str">
        <f t="shared" si="1"/>
        <v/>
      </c>
      <c r="AL32" s="143" t="str">
        <f t="shared" si="2"/>
        <v/>
      </c>
      <c r="AM32" s="143" t="str">
        <f t="shared" si="3"/>
        <v/>
      </c>
      <c r="AN32" s="144" t="str">
        <f t="shared" si="4"/>
        <v/>
      </c>
      <c r="AO32" s="11"/>
      <c r="AP32" s="40"/>
      <c r="AQ32" s="40"/>
      <c r="AR32" s="40"/>
      <c r="AS32" s="40"/>
    </row>
    <row r="33" spans="1:45" ht="13.9" customHeight="1" thickBot="1" x14ac:dyDescent="0.3">
      <c r="A33" s="38">
        <v>22</v>
      </c>
      <c r="B33" s="28"/>
      <c r="C33" s="127">
        <f>'1 Pattern 10min  Chart Reading'!AI24</f>
        <v>0</v>
      </c>
      <c r="D33" s="128">
        <f>'1 Pattern 10min  Chart Reading'!AJ24</f>
        <v>0</v>
      </c>
      <c r="E33" s="128">
        <f>'1 Pattern 10min  Chart Reading'!AK24</f>
        <v>0</v>
      </c>
      <c r="F33" s="129">
        <f>'1 Pattern 10min  Chart Reading'!AL24</f>
        <v>0</v>
      </c>
      <c r="G33" s="108">
        <f t="shared" si="0"/>
        <v>0</v>
      </c>
      <c r="H33" s="264" t="str">
        <f>IF('1 Pattern 10min  Chart Reading'!$D$2='4 Hourly RR Chart Reading'!$A33, '1 Pattern 10min  Chart Reading'!F$3, "")</f>
        <v/>
      </c>
      <c r="I33" s="264" t="str">
        <f>IF('1 Pattern 10min  Chart Reading'!$D$2='4 Hourly RR Chart Reading'!$A33, '1 Pattern 10min  Chart Reading'!G$3, "")</f>
        <v/>
      </c>
      <c r="J33" s="264" t="str">
        <f>IF('1 Pattern 10min  Chart Reading'!$D$2='4 Hourly RR Chart Reading'!$A33, '1 Pattern 10min  Chart Reading'!H$3, "")</f>
        <v/>
      </c>
      <c r="K33" s="264" t="str">
        <f>IF('1 Pattern 10min  Chart Reading'!$D$2='4 Hourly RR Chart Reading'!$A33, '1 Pattern 10min  Chart Reading'!I$3, "")</f>
        <v/>
      </c>
      <c r="L33" s="264" t="str">
        <f>IF('1 Pattern 10min  Chart Reading'!$D$2='4 Hourly RR Chart Reading'!$A33, '1 Pattern 10min  Chart Reading'!J$3, "")</f>
        <v/>
      </c>
      <c r="M33" s="264" t="str">
        <f>IF('1 Pattern 10min  Chart Reading'!$D$2='4 Hourly RR Chart Reading'!$A33, '1 Pattern 10min  Chart Reading'!K$3, "")</f>
        <v/>
      </c>
      <c r="N33" s="264" t="str">
        <f>IF('1 Pattern 10min  Chart Reading'!$D$2='4 Hourly RR Chart Reading'!$A33, '1 Pattern 10min  Chart Reading'!L$3, "")</f>
        <v/>
      </c>
      <c r="O33" s="264" t="str">
        <f>IF('1 Pattern 10min  Chart Reading'!$D$2='4 Hourly RR Chart Reading'!$A33, '1 Pattern 10min  Chart Reading'!M$3, "")</f>
        <v/>
      </c>
      <c r="P33" s="264" t="str">
        <f>IF('1 Pattern 10min  Chart Reading'!$D$2='4 Hourly RR Chart Reading'!$A33, '1 Pattern 10min  Chart Reading'!N$3, "")</f>
        <v/>
      </c>
      <c r="Q33" s="264" t="str">
        <f>IF('1 Pattern 10min  Chart Reading'!$D$2='4 Hourly RR Chart Reading'!$A33, '1 Pattern 10min  Chart Reading'!O$3, "")</f>
        <v/>
      </c>
      <c r="R33" s="264" t="str">
        <f>IF('1 Pattern 10min  Chart Reading'!$D$2='4 Hourly RR Chart Reading'!$A33, '1 Pattern 10min  Chart Reading'!P$3, "")</f>
        <v/>
      </c>
      <c r="S33" s="264" t="str">
        <f>IF('1 Pattern 10min  Chart Reading'!$D$2='4 Hourly RR Chart Reading'!$A33, '1 Pattern 10min  Chart Reading'!Q$3, "")</f>
        <v/>
      </c>
      <c r="T33" s="264" t="str">
        <f>IF('1 Pattern 10min  Chart Reading'!$D$2='4 Hourly RR Chart Reading'!$A33, '1 Pattern 10min  Chart Reading'!R$3, "")</f>
        <v/>
      </c>
      <c r="U33" s="264" t="str">
        <f>IF('1 Pattern 10min  Chart Reading'!$D$2='4 Hourly RR Chart Reading'!$A33, '1 Pattern 10min  Chart Reading'!S$3, "")</f>
        <v/>
      </c>
      <c r="V33" s="264" t="str">
        <f>IF('1 Pattern 10min  Chart Reading'!$D$2='4 Hourly RR Chart Reading'!$A33, '1 Pattern 10min  Chart Reading'!T$3, "")</f>
        <v/>
      </c>
      <c r="W33" s="264" t="str">
        <f>IF('1 Pattern 10min  Chart Reading'!$D$2='4 Hourly RR Chart Reading'!$A33, '1 Pattern 10min  Chart Reading'!U$3, "")</f>
        <v/>
      </c>
      <c r="X33" s="264" t="str">
        <f>IF('1 Pattern 10min  Chart Reading'!$D$2='4 Hourly RR Chart Reading'!$A33, '1 Pattern 10min  Chart Reading'!V$3, "")</f>
        <v/>
      </c>
      <c r="Y33" s="264" t="str">
        <f>IF('1 Pattern 10min  Chart Reading'!$D$2='4 Hourly RR Chart Reading'!$A33, '1 Pattern 10min  Chart Reading'!W$3, "")</f>
        <v/>
      </c>
      <c r="Z33" s="264" t="str">
        <f>IF('1 Pattern 10min  Chart Reading'!$D$2='4 Hourly RR Chart Reading'!$A33, '1 Pattern 10min  Chart Reading'!X$3, "")</f>
        <v/>
      </c>
      <c r="AA33" s="264" t="str">
        <f>IF('1 Pattern 10min  Chart Reading'!$D$2='4 Hourly RR Chart Reading'!$A33, '1 Pattern 10min  Chart Reading'!Y$3, "")</f>
        <v/>
      </c>
      <c r="AB33" s="264" t="str">
        <f>IF('1 Pattern 10min  Chart Reading'!$D$2='4 Hourly RR Chart Reading'!$A33, '1 Pattern 10min  Chart Reading'!Z$3, "")</f>
        <v/>
      </c>
      <c r="AC33" s="264" t="str">
        <f>IF('1 Pattern 10min  Chart Reading'!$D$2='4 Hourly RR Chart Reading'!$A33, '1 Pattern 10min  Chart Reading'!AA$3, "")</f>
        <v/>
      </c>
      <c r="AD33" s="264" t="str">
        <f>IF('1 Pattern 10min  Chart Reading'!$D$2='4 Hourly RR Chart Reading'!$A33, '1 Pattern 10min  Chart Reading'!AB$3, "")</f>
        <v/>
      </c>
      <c r="AE33" s="264" t="str">
        <f>IF('1 Pattern 10min  Chart Reading'!$D$2='4 Hourly RR Chart Reading'!$A33, '1 Pattern 10min  Chart Reading'!AC$3, "")</f>
        <v/>
      </c>
      <c r="AF33" s="15"/>
      <c r="AG33" s="139" t="str">
        <f t="shared" si="5"/>
        <v/>
      </c>
      <c r="AH33" s="140" t="str">
        <f t="shared" si="6"/>
        <v/>
      </c>
      <c r="AI33" s="140" t="str">
        <f t="shared" si="7"/>
        <v/>
      </c>
      <c r="AJ33" s="141" t="str">
        <f t="shared" si="8"/>
        <v/>
      </c>
      <c r="AK33" s="142" t="str">
        <f t="shared" si="1"/>
        <v/>
      </c>
      <c r="AL33" s="143" t="str">
        <f t="shared" si="2"/>
        <v/>
      </c>
      <c r="AM33" s="143" t="str">
        <f t="shared" si="3"/>
        <v/>
      </c>
      <c r="AN33" s="144" t="str">
        <f t="shared" si="4"/>
        <v/>
      </c>
      <c r="AO33" s="11"/>
      <c r="AP33" s="40"/>
      <c r="AQ33" s="40"/>
      <c r="AR33" s="40"/>
      <c r="AS33" s="40"/>
    </row>
    <row r="34" spans="1:45" ht="13.9" customHeight="1" thickBot="1" x14ac:dyDescent="0.3">
      <c r="A34" s="38">
        <v>23</v>
      </c>
      <c r="B34" s="28"/>
      <c r="C34" s="127">
        <f>'1 Pattern 10min  Chart Reading'!AI25</f>
        <v>0</v>
      </c>
      <c r="D34" s="128">
        <f>'1 Pattern 10min  Chart Reading'!AJ25</f>
        <v>0</v>
      </c>
      <c r="E34" s="128">
        <f>'1 Pattern 10min  Chart Reading'!AK25</f>
        <v>0</v>
      </c>
      <c r="F34" s="129">
        <f>'1 Pattern 10min  Chart Reading'!AL25</f>
        <v>0</v>
      </c>
      <c r="G34" s="108">
        <f t="shared" si="0"/>
        <v>0</v>
      </c>
      <c r="H34" s="264" t="str">
        <f>IF('1 Pattern 10min  Chart Reading'!$D$2='4 Hourly RR Chart Reading'!$A34, '1 Pattern 10min  Chart Reading'!F$3, "")</f>
        <v/>
      </c>
      <c r="I34" s="264" t="str">
        <f>IF('1 Pattern 10min  Chart Reading'!$D$2='4 Hourly RR Chart Reading'!$A34, '1 Pattern 10min  Chart Reading'!G$3, "")</f>
        <v/>
      </c>
      <c r="J34" s="264" t="str">
        <f>IF('1 Pattern 10min  Chart Reading'!$D$2='4 Hourly RR Chart Reading'!$A34, '1 Pattern 10min  Chart Reading'!H$3, "")</f>
        <v/>
      </c>
      <c r="K34" s="264" t="str">
        <f>IF('1 Pattern 10min  Chart Reading'!$D$2='4 Hourly RR Chart Reading'!$A34, '1 Pattern 10min  Chart Reading'!I$3, "")</f>
        <v/>
      </c>
      <c r="L34" s="264" t="str">
        <f>IF('1 Pattern 10min  Chart Reading'!$D$2='4 Hourly RR Chart Reading'!$A34, '1 Pattern 10min  Chart Reading'!J$3, "")</f>
        <v/>
      </c>
      <c r="M34" s="264" t="str">
        <f>IF('1 Pattern 10min  Chart Reading'!$D$2='4 Hourly RR Chart Reading'!$A34, '1 Pattern 10min  Chart Reading'!K$3, "")</f>
        <v/>
      </c>
      <c r="N34" s="264" t="str">
        <f>IF('1 Pattern 10min  Chart Reading'!$D$2='4 Hourly RR Chart Reading'!$A34, '1 Pattern 10min  Chart Reading'!L$3, "")</f>
        <v/>
      </c>
      <c r="O34" s="264" t="str">
        <f>IF('1 Pattern 10min  Chart Reading'!$D$2='4 Hourly RR Chart Reading'!$A34, '1 Pattern 10min  Chart Reading'!M$3, "")</f>
        <v/>
      </c>
      <c r="P34" s="264" t="str">
        <f>IF('1 Pattern 10min  Chart Reading'!$D$2='4 Hourly RR Chart Reading'!$A34, '1 Pattern 10min  Chart Reading'!N$3, "")</f>
        <v/>
      </c>
      <c r="Q34" s="264" t="str">
        <f>IF('1 Pattern 10min  Chart Reading'!$D$2='4 Hourly RR Chart Reading'!$A34, '1 Pattern 10min  Chart Reading'!O$3, "")</f>
        <v/>
      </c>
      <c r="R34" s="264" t="str">
        <f>IF('1 Pattern 10min  Chart Reading'!$D$2='4 Hourly RR Chart Reading'!$A34, '1 Pattern 10min  Chart Reading'!P$3, "")</f>
        <v/>
      </c>
      <c r="S34" s="264" t="str">
        <f>IF('1 Pattern 10min  Chart Reading'!$D$2='4 Hourly RR Chart Reading'!$A34, '1 Pattern 10min  Chart Reading'!Q$3, "")</f>
        <v/>
      </c>
      <c r="T34" s="264" t="str">
        <f>IF('1 Pattern 10min  Chart Reading'!$D$2='4 Hourly RR Chart Reading'!$A34, '1 Pattern 10min  Chart Reading'!R$3, "")</f>
        <v/>
      </c>
      <c r="U34" s="264" t="str">
        <f>IF('1 Pattern 10min  Chart Reading'!$D$2='4 Hourly RR Chart Reading'!$A34, '1 Pattern 10min  Chart Reading'!S$3, "")</f>
        <v/>
      </c>
      <c r="V34" s="264" t="str">
        <f>IF('1 Pattern 10min  Chart Reading'!$D$2='4 Hourly RR Chart Reading'!$A34, '1 Pattern 10min  Chart Reading'!T$3, "")</f>
        <v/>
      </c>
      <c r="W34" s="264" t="str">
        <f>IF('1 Pattern 10min  Chart Reading'!$D$2='4 Hourly RR Chart Reading'!$A34, '1 Pattern 10min  Chart Reading'!U$3, "")</f>
        <v/>
      </c>
      <c r="X34" s="264" t="str">
        <f>IF('1 Pattern 10min  Chart Reading'!$D$2='4 Hourly RR Chart Reading'!$A34, '1 Pattern 10min  Chart Reading'!V$3, "")</f>
        <v/>
      </c>
      <c r="Y34" s="264" t="str">
        <f>IF('1 Pattern 10min  Chart Reading'!$D$2='4 Hourly RR Chart Reading'!$A34, '1 Pattern 10min  Chart Reading'!W$3, "")</f>
        <v/>
      </c>
      <c r="Z34" s="264" t="str">
        <f>IF('1 Pattern 10min  Chart Reading'!$D$2='4 Hourly RR Chart Reading'!$A34, '1 Pattern 10min  Chart Reading'!X$3, "")</f>
        <v/>
      </c>
      <c r="AA34" s="264" t="str">
        <f>IF('1 Pattern 10min  Chart Reading'!$D$2='4 Hourly RR Chart Reading'!$A34, '1 Pattern 10min  Chart Reading'!Y$3, "")</f>
        <v/>
      </c>
      <c r="AB34" s="264" t="str">
        <f>IF('1 Pattern 10min  Chart Reading'!$D$2='4 Hourly RR Chart Reading'!$A34, '1 Pattern 10min  Chart Reading'!Z$3, "")</f>
        <v/>
      </c>
      <c r="AC34" s="264" t="str">
        <f>IF('1 Pattern 10min  Chart Reading'!$D$2='4 Hourly RR Chart Reading'!$A34, '1 Pattern 10min  Chart Reading'!AA$3, "")</f>
        <v/>
      </c>
      <c r="AD34" s="264" t="str">
        <f>IF('1 Pattern 10min  Chart Reading'!$D$2='4 Hourly RR Chart Reading'!$A34, '1 Pattern 10min  Chart Reading'!AB$3, "")</f>
        <v/>
      </c>
      <c r="AE34" s="264" t="str">
        <f>IF('1 Pattern 10min  Chart Reading'!$D$2='4 Hourly RR Chart Reading'!$A34, '1 Pattern 10min  Chart Reading'!AC$3, "")</f>
        <v/>
      </c>
      <c r="AF34" s="15"/>
      <c r="AG34" s="139" t="str">
        <f t="shared" si="5"/>
        <v/>
      </c>
      <c r="AH34" s="140" t="str">
        <f t="shared" si="6"/>
        <v/>
      </c>
      <c r="AI34" s="140" t="str">
        <f t="shared" si="7"/>
        <v/>
      </c>
      <c r="AJ34" s="141" t="str">
        <f t="shared" si="8"/>
        <v/>
      </c>
      <c r="AK34" s="142" t="str">
        <f t="shared" si="1"/>
        <v/>
      </c>
      <c r="AL34" s="143" t="str">
        <f t="shared" si="2"/>
        <v/>
      </c>
      <c r="AM34" s="143" t="str">
        <f t="shared" si="3"/>
        <v/>
      </c>
      <c r="AN34" s="144" t="str">
        <f t="shared" si="4"/>
        <v/>
      </c>
      <c r="AO34" s="11"/>
      <c r="AP34" s="40"/>
      <c r="AQ34" s="40"/>
      <c r="AR34" s="40"/>
      <c r="AS34" s="40"/>
    </row>
    <row r="35" spans="1:45" ht="13.9" customHeight="1" thickBot="1" x14ac:dyDescent="0.3">
      <c r="A35" s="38">
        <v>24</v>
      </c>
      <c r="B35" s="28"/>
      <c r="C35" s="127">
        <f>'1 Pattern 10min  Chart Reading'!AI26</f>
        <v>0</v>
      </c>
      <c r="D35" s="128">
        <f>'1 Pattern 10min  Chart Reading'!AJ26</f>
        <v>0</v>
      </c>
      <c r="E35" s="128">
        <f>'1 Pattern 10min  Chart Reading'!AK26</f>
        <v>0</v>
      </c>
      <c r="F35" s="129">
        <f>'1 Pattern 10min  Chart Reading'!AL26</f>
        <v>0</v>
      </c>
      <c r="G35" s="108">
        <f t="shared" si="0"/>
        <v>0</v>
      </c>
      <c r="H35" s="264" t="str">
        <f>IF('1 Pattern 10min  Chart Reading'!$D$2='4 Hourly RR Chart Reading'!$A35, '1 Pattern 10min  Chart Reading'!F$3, "")</f>
        <v/>
      </c>
      <c r="I35" s="264" t="str">
        <f>IF('1 Pattern 10min  Chart Reading'!$D$2='4 Hourly RR Chart Reading'!$A35, '1 Pattern 10min  Chart Reading'!G$3, "")</f>
        <v/>
      </c>
      <c r="J35" s="264" t="str">
        <f>IF('1 Pattern 10min  Chart Reading'!$D$2='4 Hourly RR Chart Reading'!$A35, '1 Pattern 10min  Chart Reading'!H$3, "")</f>
        <v/>
      </c>
      <c r="K35" s="264" t="str">
        <f>IF('1 Pattern 10min  Chart Reading'!$D$2='4 Hourly RR Chart Reading'!$A35, '1 Pattern 10min  Chart Reading'!I$3, "")</f>
        <v/>
      </c>
      <c r="L35" s="264" t="str">
        <f>IF('1 Pattern 10min  Chart Reading'!$D$2='4 Hourly RR Chart Reading'!$A35, '1 Pattern 10min  Chart Reading'!J$3, "")</f>
        <v/>
      </c>
      <c r="M35" s="264" t="str">
        <f>IF('1 Pattern 10min  Chart Reading'!$D$2='4 Hourly RR Chart Reading'!$A35, '1 Pattern 10min  Chart Reading'!K$3, "")</f>
        <v/>
      </c>
      <c r="N35" s="264" t="str">
        <f>IF('1 Pattern 10min  Chart Reading'!$D$2='4 Hourly RR Chart Reading'!$A35, '1 Pattern 10min  Chart Reading'!L$3, "")</f>
        <v/>
      </c>
      <c r="O35" s="264" t="str">
        <f>IF('1 Pattern 10min  Chart Reading'!$D$2='4 Hourly RR Chart Reading'!$A35, '1 Pattern 10min  Chart Reading'!M$3, "")</f>
        <v/>
      </c>
      <c r="P35" s="264" t="str">
        <f>IF('1 Pattern 10min  Chart Reading'!$D$2='4 Hourly RR Chart Reading'!$A35, '1 Pattern 10min  Chart Reading'!N$3, "")</f>
        <v/>
      </c>
      <c r="Q35" s="264" t="str">
        <f>IF('1 Pattern 10min  Chart Reading'!$D$2='4 Hourly RR Chart Reading'!$A35, '1 Pattern 10min  Chart Reading'!O$3, "")</f>
        <v/>
      </c>
      <c r="R35" s="264" t="str">
        <f>IF('1 Pattern 10min  Chart Reading'!$D$2='4 Hourly RR Chart Reading'!$A35, '1 Pattern 10min  Chart Reading'!P$3, "")</f>
        <v/>
      </c>
      <c r="S35" s="264" t="str">
        <f>IF('1 Pattern 10min  Chart Reading'!$D$2='4 Hourly RR Chart Reading'!$A35, '1 Pattern 10min  Chart Reading'!Q$3, "")</f>
        <v/>
      </c>
      <c r="T35" s="264" t="str">
        <f>IF('1 Pattern 10min  Chart Reading'!$D$2='4 Hourly RR Chart Reading'!$A35, '1 Pattern 10min  Chart Reading'!R$3, "")</f>
        <v/>
      </c>
      <c r="U35" s="264" t="str">
        <f>IF('1 Pattern 10min  Chart Reading'!$D$2='4 Hourly RR Chart Reading'!$A35, '1 Pattern 10min  Chart Reading'!S$3, "")</f>
        <v/>
      </c>
      <c r="V35" s="264" t="str">
        <f>IF('1 Pattern 10min  Chart Reading'!$D$2='4 Hourly RR Chart Reading'!$A35, '1 Pattern 10min  Chart Reading'!T$3, "")</f>
        <v/>
      </c>
      <c r="W35" s="264" t="str">
        <f>IF('1 Pattern 10min  Chart Reading'!$D$2='4 Hourly RR Chart Reading'!$A35, '1 Pattern 10min  Chart Reading'!U$3, "")</f>
        <v/>
      </c>
      <c r="X35" s="264" t="str">
        <f>IF('1 Pattern 10min  Chart Reading'!$D$2='4 Hourly RR Chart Reading'!$A35, '1 Pattern 10min  Chart Reading'!V$3, "")</f>
        <v/>
      </c>
      <c r="Y35" s="264" t="str">
        <f>IF('1 Pattern 10min  Chart Reading'!$D$2='4 Hourly RR Chart Reading'!$A35, '1 Pattern 10min  Chart Reading'!W$3, "")</f>
        <v/>
      </c>
      <c r="Z35" s="264" t="str">
        <f>IF('1 Pattern 10min  Chart Reading'!$D$2='4 Hourly RR Chart Reading'!$A35, '1 Pattern 10min  Chart Reading'!X$3, "")</f>
        <v/>
      </c>
      <c r="AA35" s="264" t="str">
        <f>IF('1 Pattern 10min  Chart Reading'!$D$2='4 Hourly RR Chart Reading'!$A35, '1 Pattern 10min  Chart Reading'!Y$3, "")</f>
        <v/>
      </c>
      <c r="AB35" s="264" t="str">
        <f>IF('1 Pattern 10min  Chart Reading'!$D$2='4 Hourly RR Chart Reading'!$A35, '1 Pattern 10min  Chart Reading'!Z$3, "")</f>
        <v/>
      </c>
      <c r="AC35" s="264" t="str">
        <f>IF('1 Pattern 10min  Chart Reading'!$D$2='4 Hourly RR Chart Reading'!$A35, '1 Pattern 10min  Chart Reading'!AA$3, "")</f>
        <v/>
      </c>
      <c r="AD35" s="264" t="str">
        <f>IF('1 Pattern 10min  Chart Reading'!$D$2='4 Hourly RR Chart Reading'!$A35, '1 Pattern 10min  Chart Reading'!AB$3, "")</f>
        <v/>
      </c>
      <c r="AE35" s="264" t="str">
        <f>IF('1 Pattern 10min  Chart Reading'!$D$2='4 Hourly RR Chart Reading'!$A35, '1 Pattern 10min  Chart Reading'!AC$3, "")</f>
        <v/>
      </c>
      <c r="AF35" s="15"/>
      <c r="AG35" s="139" t="str">
        <f t="shared" si="5"/>
        <v/>
      </c>
      <c r="AH35" s="140" t="str">
        <f t="shared" si="6"/>
        <v/>
      </c>
      <c r="AI35" s="140" t="str">
        <f t="shared" si="7"/>
        <v/>
      </c>
      <c r="AJ35" s="141" t="str">
        <f t="shared" si="8"/>
        <v/>
      </c>
      <c r="AK35" s="142" t="str">
        <f t="shared" si="1"/>
        <v/>
      </c>
      <c r="AL35" s="143" t="str">
        <f t="shared" si="2"/>
        <v/>
      </c>
      <c r="AM35" s="143" t="str">
        <f t="shared" si="3"/>
        <v/>
      </c>
      <c r="AN35" s="144" t="str">
        <f t="shared" si="4"/>
        <v/>
      </c>
      <c r="AO35" s="11"/>
      <c r="AP35" s="40"/>
      <c r="AQ35" s="40"/>
      <c r="AR35" s="40"/>
      <c r="AS35" s="40"/>
    </row>
    <row r="36" spans="1:45" ht="13.9" customHeight="1" thickBot="1" x14ac:dyDescent="0.3">
      <c r="A36" s="38">
        <v>25</v>
      </c>
      <c r="B36" s="28"/>
      <c r="C36" s="127">
        <f>'1 Pattern 10min  Chart Reading'!AI27</f>
        <v>0</v>
      </c>
      <c r="D36" s="128">
        <f>'1 Pattern 10min  Chart Reading'!AJ27</f>
        <v>0</v>
      </c>
      <c r="E36" s="128">
        <f>'1 Pattern 10min  Chart Reading'!AK27</f>
        <v>0</v>
      </c>
      <c r="F36" s="129">
        <f>'1 Pattern 10min  Chart Reading'!AL27</f>
        <v>0</v>
      </c>
      <c r="G36" s="108">
        <f t="shared" si="0"/>
        <v>0</v>
      </c>
      <c r="H36" s="264" t="str">
        <f>IF('1 Pattern 10min  Chart Reading'!$D$2='4 Hourly RR Chart Reading'!$A36, '1 Pattern 10min  Chart Reading'!F$3, "")</f>
        <v/>
      </c>
      <c r="I36" s="264" t="str">
        <f>IF('1 Pattern 10min  Chart Reading'!$D$2='4 Hourly RR Chart Reading'!$A36, '1 Pattern 10min  Chart Reading'!G$3, "")</f>
        <v/>
      </c>
      <c r="J36" s="264" t="str">
        <f>IF('1 Pattern 10min  Chart Reading'!$D$2='4 Hourly RR Chart Reading'!$A36, '1 Pattern 10min  Chart Reading'!H$3, "")</f>
        <v/>
      </c>
      <c r="K36" s="264" t="str">
        <f>IF('1 Pattern 10min  Chart Reading'!$D$2='4 Hourly RR Chart Reading'!$A36, '1 Pattern 10min  Chart Reading'!I$3, "")</f>
        <v/>
      </c>
      <c r="L36" s="264" t="str">
        <f>IF('1 Pattern 10min  Chart Reading'!$D$2='4 Hourly RR Chart Reading'!$A36, '1 Pattern 10min  Chart Reading'!J$3, "")</f>
        <v/>
      </c>
      <c r="M36" s="264" t="str">
        <f>IF('1 Pattern 10min  Chart Reading'!$D$2='4 Hourly RR Chart Reading'!$A36, '1 Pattern 10min  Chart Reading'!K$3, "")</f>
        <v/>
      </c>
      <c r="N36" s="264" t="str">
        <f>IF('1 Pattern 10min  Chart Reading'!$D$2='4 Hourly RR Chart Reading'!$A36, '1 Pattern 10min  Chart Reading'!L$3, "")</f>
        <v/>
      </c>
      <c r="O36" s="264" t="str">
        <f>IF('1 Pattern 10min  Chart Reading'!$D$2='4 Hourly RR Chart Reading'!$A36, '1 Pattern 10min  Chart Reading'!M$3, "")</f>
        <v/>
      </c>
      <c r="P36" s="264" t="str">
        <f>IF('1 Pattern 10min  Chart Reading'!$D$2='4 Hourly RR Chart Reading'!$A36, '1 Pattern 10min  Chart Reading'!N$3, "")</f>
        <v/>
      </c>
      <c r="Q36" s="264" t="str">
        <f>IF('1 Pattern 10min  Chart Reading'!$D$2='4 Hourly RR Chart Reading'!$A36, '1 Pattern 10min  Chart Reading'!O$3, "")</f>
        <v/>
      </c>
      <c r="R36" s="264" t="str">
        <f>IF('1 Pattern 10min  Chart Reading'!$D$2='4 Hourly RR Chart Reading'!$A36, '1 Pattern 10min  Chart Reading'!P$3, "")</f>
        <v/>
      </c>
      <c r="S36" s="264" t="str">
        <f>IF('1 Pattern 10min  Chart Reading'!$D$2='4 Hourly RR Chart Reading'!$A36, '1 Pattern 10min  Chart Reading'!Q$3, "")</f>
        <v/>
      </c>
      <c r="T36" s="264" t="str">
        <f>IF('1 Pattern 10min  Chart Reading'!$D$2='4 Hourly RR Chart Reading'!$A36, '1 Pattern 10min  Chart Reading'!R$3, "")</f>
        <v/>
      </c>
      <c r="U36" s="264" t="str">
        <f>IF('1 Pattern 10min  Chart Reading'!$D$2='4 Hourly RR Chart Reading'!$A36, '1 Pattern 10min  Chart Reading'!S$3, "")</f>
        <v/>
      </c>
      <c r="V36" s="264" t="str">
        <f>IF('1 Pattern 10min  Chart Reading'!$D$2='4 Hourly RR Chart Reading'!$A36, '1 Pattern 10min  Chart Reading'!T$3, "")</f>
        <v/>
      </c>
      <c r="W36" s="264" t="str">
        <f>IF('1 Pattern 10min  Chart Reading'!$D$2='4 Hourly RR Chart Reading'!$A36, '1 Pattern 10min  Chart Reading'!U$3, "")</f>
        <v/>
      </c>
      <c r="X36" s="264" t="str">
        <f>IF('1 Pattern 10min  Chart Reading'!$D$2='4 Hourly RR Chart Reading'!$A36, '1 Pattern 10min  Chart Reading'!V$3, "")</f>
        <v/>
      </c>
      <c r="Y36" s="264" t="str">
        <f>IF('1 Pattern 10min  Chart Reading'!$D$2='4 Hourly RR Chart Reading'!$A36, '1 Pattern 10min  Chart Reading'!W$3, "")</f>
        <v/>
      </c>
      <c r="Z36" s="264" t="str">
        <f>IF('1 Pattern 10min  Chart Reading'!$D$2='4 Hourly RR Chart Reading'!$A36, '1 Pattern 10min  Chart Reading'!X$3, "")</f>
        <v/>
      </c>
      <c r="AA36" s="264" t="str">
        <f>IF('1 Pattern 10min  Chart Reading'!$D$2='4 Hourly RR Chart Reading'!$A36, '1 Pattern 10min  Chart Reading'!Y$3, "")</f>
        <v/>
      </c>
      <c r="AB36" s="264" t="str">
        <f>IF('1 Pattern 10min  Chart Reading'!$D$2='4 Hourly RR Chart Reading'!$A36, '1 Pattern 10min  Chart Reading'!Z$3, "")</f>
        <v/>
      </c>
      <c r="AC36" s="264" t="str">
        <f>IF('1 Pattern 10min  Chart Reading'!$D$2='4 Hourly RR Chart Reading'!$A36, '1 Pattern 10min  Chart Reading'!AA$3, "")</f>
        <v/>
      </c>
      <c r="AD36" s="264" t="str">
        <f>IF('1 Pattern 10min  Chart Reading'!$D$2='4 Hourly RR Chart Reading'!$A36, '1 Pattern 10min  Chart Reading'!AB$3, "")</f>
        <v/>
      </c>
      <c r="AE36" s="264" t="str">
        <f>IF('1 Pattern 10min  Chart Reading'!$D$2='4 Hourly RR Chart Reading'!$A36, '1 Pattern 10min  Chart Reading'!AC$3, "")</f>
        <v/>
      </c>
      <c r="AF36" s="15"/>
      <c r="AG36" s="139" t="str">
        <f t="shared" si="5"/>
        <v/>
      </c>
      <c r="AH36" s="140" t="str">
        <f t="shared" si="6"/>
        <v/>
      </c>
      <c r="AI36" s="140" t="str">
        <f t="shared" si="7"/>
        <v/>
      </c>
      <c r="AJ36" s="141" t="str">
        <f t="shared" si="8"/>
        <v/>
      </c>
      <c r="AK36" s="142" t="str">
        <f t="shared" si="1"/>
        <v/>
      </c>
      <c r="AL36" s="143" t="str">
        <f t="shared" si="2"/>
        <v/>
      </c>
      <c r="AM36" s="143" t="str">
        <f t="shared" si="3"/>
        <v/>
      </c>
      <c r="AN36" s="144" t="str">
        <f t="shared" si="4"/>
        <v/>
      </c>
      <c r="AO36" s="11"/>
      <c r="AP36" s="40"/>
      <c r="AQ36" s="40"/>
      <c r="AR36" s="40"/>
      <c r="AS36" s="41"/>
    </row>
    <row r="37" spans="1:45" ht="13.9" customHeight="1" thickBot="1" x14ac:dyDescent="0.3">
      <c r="A37" s="38">
        <v>26</v>
      </c>
      <c r="B37" s="28"/>
      <c r="C37" s="127">
        <f>'1 Pattern 10min  Chart Reading'!AI28</f>
        <v>0</v>
      </c>
      <c r="D37" s="128">
        <f>'1 Pattern 10min  Chart Reading'!AJ28</f>
        <v>0</v>
      </c>
      <c r="E37" s="128">
        <f>'1 Pattern 10min  Chart Reading'!AK28</f>
        <v>0</v>
      </c>
      <c r="F37" s="129">
        <f>'1 Pattern 10min  Chart Reading'!AL28</f>
        <v>0</v>
      </c>
      <c r="G37" s="108">
        <f t="shared" si="0"/>
        <v>0</v>
      </c>
      <c r="H37" s="264" t="str">
        <f>IF('1 Pattern 10min  Chart Reading'!$D$2='4 Hourly RR Chart Reading'!$A37, '1 Pattern 10min  Chart Reading'!F$3, "")</f>
        <v/>
      </c>
      <c r="I37" s="264" t="str">
        <f>IF('1 Pattern 10min  Chart Reading'!$D$2='4 Hourly RR Chart Reading'!$A37, '1 Pattern 10min  Chart Reading'!G$3, "")</f>
        <v/>
      </c>
      <c r="J37" s="264" t="str">
        <f>IF('1 Pattern 10min  Chart Reading'!$D$2='4 Hourly RR Chart Reading'!$A37, '1 Pattern 10min  Chart Reading'!H$3, "")</f>
        <v/>
      </c>
      <c r="K37" s="264" t="str">
        <f>IF('1 Pattern 10min  Chart Reading'!$D$2='4 Hourly RR Chart Reading'!$A37, '1 Pattern 10min  Chart Reading'!I$3, "")</f>
        <v/>
      </c>
      <c r="L37" s="264" t="str">
        <f>IF('1 Pattern 10min  Chart Reading'!$D$2='4 Hourly RR Chart Reading'!$A37, '1 Pattern 10min  Chart Reading'!J$3, "")</f>
        <v/>
      </c>
      <c r="M37" s="264" t="str">
        <f>IF('1 Pattern 10min  Chart Reading'!$D$2='4 Hourly RR Chart Reading'!$A37, '1 Pattern 10min  Chart Reading'!K$3, "")</f>
        <v/>
      </c>
      <c r="N37" s="264" t="str">
        <f>IF('1 Pattern 10min  Chart Reading'!$D$2='4 Hourly RR Chart Reading'!$A37, '1 Pattern 10min  Chart Reading'!L$3, "")</f>
        <v/>
      </c>
      <c r="O37" s="264" t="str">
        <f>IF('1 Pattern 10min  Chart Reading'!$D$2='4 Hourly RR Chart Reading'!$A37, '1 Pattern 10min  Chart Reading'!M$3, "")</f>
        <v/>
      </c>
      <c r="P37" s="264" t="str">
        <f>IF('1 Pattern 10min  Chart Reading'!$D$2='4 Hourly RR Chart Reading'!$A37, '1 Pattern 10min  Chart Reading'!N$3, "")</f>
        <v/>
      </c>
      <c r="Q37" s="264" t="str">
        <f>IF('1 Pattern 10min  Chart Reading'!$D$2='4 Hourly RR Chart Reading'!$A37, '1 Pattern 10min  Chart Reading'!O$3, "")</f>
        <v/>
      </c>
      <c r="R37" s="264" t="str">
        <f>IF('1 Pattern 10min  Chart Reading'!$D$2='4 Hourly RR Chart Reading'!$A37, '1 Pattern 10min  Chart Reading'!P$3, "")</f>
        <v/>
      </c>
      <c r="S37" s="264" t="str">
        <f>IF('1 Pattern 10min  Chart Reading'!$D$2='4 Hourly RR Chart Reading'!$A37, '1 Pattern 10min  Chart Reading'!Q$3, "")</f>
        <v/>
      </c>
      <c r="T37" s="264" t="str">
        <f>IF('1 Pattern 10min  Chart Reading'!$D$2='4 Hourly RR Chart Reading'!$A37, '1 Pattern 10min  Chart Reading'!R$3, "")</f>
        <v/>
      </c>
      <c r="U37" s="264" t="str">
        <f>IF('1 Pattern 10min  Chart Reading'!$D$2='4 Hourly RR Chart Reading'!$A37, '1 Pattern 10min  Chart Reading'!S$3, "")</f>
        <v/>
      </c>
      <c r="V37" s="264" t="str">
        <f>IF('1 Pattern 10min  Chart Reading'!$D$2='4 Hourly RR Chart Reading'!$A37, '1 Pattern 10min  Chart Reading'!T$3, "")</f>
        <v/>
      </c>
      <c r="W37" s="264" t="str">
        <f>IF('1 Pattern 10min  Chart Reading'!$D$2='4 Hourly RR Chart Reading'!$A37, '1 Pattern 10min  Chart Reading'!U$3, "")</f>
        <v/>
      </c>
      <c r="X37" s="264" t="str">
        <f>IF('1 Pattern 10min  Chart Reading'!$D$2='4 Hourly RR Chart Reading'!$A37, '1 Pattern 10min  Chart Reading'!V$3, "")</f>
        <v/>
      </c>
      <c r="Y37" s="264" t="str">
        <f>IF('1 Pattern 10min  Chart Reading'!$D$2='4 Hourly RR Chart Reading'!$A37, '1 Pattern 10min  Chart Reading'!W$3, "")</f>
        <v/>
      </c>
      <c r="Z37" s="264" t="str">
        <f>IF('1 Pattern 10min  Chart Reading'!$D$2='4 Hourly RR Chart Reading'!$A37, '1 Pattern 10min  Chart Reading'!X$3, "")</f>
        <v/>
      </c>
      <c r="AA37" s="264" t="str">
        <f>IF('1 Pattern 10min  Chart Reading'!$D$2='4 Hourly RR Chart Reading'!$A37, '1 Pattern 10min  Chart Reading'!Y$3, "")</f>
        <v/>
      </c>
      <c r="AB37" s="264" t="str">
        <f>IF('1 Pattern 10min  Chart Reading'!$D$2='4 Hourly RR Chart Reading'!$A37, '1 Pattern 10min  Chart Reading'!Z$3, "")</f>
        <v/>
      </c>
      <c r="AC37" s="264" t="str">
        <f>IF('1 Pattern 10min  Chart Reading'!$D$2='4 Hourly RR Chart Reading'!$A37, '1 Pattern 10min  Chart Reading'!AA$3, "")</f>
        <v/>
      </c>
      <c r="AD37" s="264" t="str">
        <f>IF('1 Pattern 10min  Chart Reading'!$D$2='4 Hourly RR Chart Reading'!$A37, '1 Pattern 10min  Chart Reading'!AB$3, "")</f>
        <v/>
      </c>
      <c r="AE37" s="264" t="str">
        <f>IF('1 Pattern 10min  Chart Reading'!$D$2='4 Hourly RR Chart Reading'!$A37, '1 Pattern 10min  Chart Reading'!AC$3, "")</f>
        <v/>
      </c>
      <c r="AF37" s="15"/>
      <c r="AG37" s="139" t="str">
        <f t="shared" si="5"/>
        <v/>
      </c>
      <c r="AH37" s="140" t="str">
        <f t="shared" si="6"/>
        <v/>
      </c>
      <c r="AI37" s="140" t="str">
        <f t="shared" si="7"/>
        <v/>
      </c>
      <c r="AJ37" s="141" t="str">
        <f t="shared" si="8"/>
        <v/>
      </c>
      <c r="AK37" s="142" t="str">
        <f t="shared" si="1"/>
        <v/>
      </c>
      <c r="AL37" s="143" t="str">
        <f t="shared" si="2"/>
        <v/>
      </c>
      <c r="AM37" s="143" t="str">
        <f t="shared" si="3"/>
        <v/>
      </c>
      <c r="AN37" s="144" t="str">
        <f t="shared" si="4"/>
        <v/>
      </c>
      <c r="AO37" s="11"/>
      <c r="AP37" s="40"/>
      <c r="AQ37" s="40"/>
      <c r="AR37" s="40"/>
      <c r="AS37" s="40"/>
    </row>
    <row r="38" spans="1:45" ht="13.9" customHeight="1" thickBot="1" x14ac:dyDescent="0.3">
      <c r="A38" s="38">
        <v>27</v>
      </c>
      <c r="B38" s="28"/>
      <c r="C38" s="127">
        <f>'1 Pattern 10min  Chart Reading'!AI29</f>
        <v>0</v>
      </c>
      <c r="D38" s="128">
        <f>'1 Pattern 10min  Chart Reading'!AJ29</f>
        <v>0</v>
      </c>
      <c r="E38" s="128">
        <f>'1 Pattern 10min  Chart Reading'!AK29</f>
        <v>0</v>
      </c>
      <c r="F38" s="129">
        <f>'1 Pattern 10min  Chart Reading'!AL29</f>
        <v>0</v>
      </c>
      <c r="G38" s="108">
        <f t="shared" si="0"/>
        <v>0</v>
      </c>
      <c r="H38" s="264" t="str">
        <f>IF('1 Pattern 10min  Chart Reading'!$D$2='4 Hourly RR Chart Reading'!$A38, '1 Pattern 10min  Chart Reading'!F$3, "")</f>
        <v/>
      </c>
      <c r="I38" s="264" t="str">
        <f>IF('1 Pattern 10min  Chart Reading'!$D$2='4 Hourly RR Chart Reading'!$A38, '1 Pattern 10min  Chart Reading'!G$3, "")</f>
        <v/>
      </c>
      <c r="J38" s="264" t="str">
        <f>IF('1 Pattern 10min  Chart Reading'!$D$2='4 Hourly RR Chart Reading'!$A38, '1 Pattern 10min  Chart Reading'!H$3, "")</f>
        <v/>
      </c>
      <c r="K38" s="264" t="str">
        <f>IF('1 Pattern 10min  Chart Reading'!$D$2='4 Hourly RR Chart Reading'!$A38, '1 Pattern 10min  Chart Reading'!I$3, "")</f>
        <v/>
      </c>
      <c r="L38" s="264" t="str">
        <f>IF('1 Pattern 10min  Chart Reading'!$D$2='4 Hourly RR Chart Reading'!$A38, '1 Pattern 10min  Chart Reading'!J$3, "")</f>
        <v/>
      </c>
      <c r="M38" s="264" t="str">
        <f>IF('1 Pattern 10min  Chart Reading'!$D$2='4 Hourly RR Chart Reading'!$A38, '1 Pattern 10min  Chart Reading'!K$3, "")</f>
        <v/>
      </c>
      <c r="N38" s="264" t="str">
        <f>IF('1 Pattern 10min  Chart Reading'!$D$2='4 Hourly RR Chart Reading'!$A38, '1 Pattern 10min  Chart Reading'!L$3, "")</f>
        <v/>
      </c>
      <c r="O38" s="264" t="str">
        <f>IF('1 Pattern 10min  Chart Reading'!$D$2='4 Hourly RR Chart Reading'!$A38, '1 Pattern 10min  Chart Reading'!M$3, "")</f>
        <v/>
      </c>
      <c r="P38" s="264" t="str">
        <f>IF('1 Pattern 10min  Chart Reading'!$D$2='4 Hourly RR Chart Reading'!$A38, '1 Pattern 10min  Chart Reading'!N$3, "")</f>
        <v/>
      </c>
      <c r="Q38" s="264" t="str">
        <f>IF('1 Pattern 10min  Chart Reading'!$D$2='4 Hourly RR Chart Reading'!$A38, '1 Pattern 10min  Chart Reading'!O$3, "")</f>
        <v/>
      </c>
      <c r="R38" s="264" t="str">
        <f>IF('1 Pattern 10min  Chart Reading'!$D$2='4 Hourly RR Chart Reading'!$A38, '1 Pattern 10min  Chart Reading'!P$3, "")</f>
        <v/>
      </c>
      <c r="S38" s="264" t="str">
        <f>IF('1 Pattern 10min  Chart Reading'!$D$2='4 Hourly RR Chart Reading'!$A38, '1 Pattern 10min  Chart Reading'!Q$3, "")</f>
        <v/>
      </c>
      <c r="T38" s="264" t="str">
        <f>IF('1 Pattern 10min  Chart Reading'!$D$2='4 Hourly RR Chart Reading'!$A38, '1 Pattern 10min  Chart Reading'!R$3, "")</f>
        <v/>
      </c>
      <c r="U38" s="264" t="str">
        <f>IF('1 Pattern 10min  Chart Reading'!$D$2='4 Hourly RR Chart Reading'!$A38, '1 Pattern 10min  Chart Reading'!S$3, "")</f>
        <v/>
      </c>
      <c r="V38" s="264" t="str">
        <f>IF('1 Pattern 10min  Chart Reading'!$D$2='4 Hourly RR Chart Reading'!$A38, '1 Pattern 10min  Chart Reading'!T$3, "")</f>
        <v/>
      </c>
      <c r="W38" s="264" t="str">
        <f>IF('1 Pattern 10min  Chart Reading'!$D$2='4 Hourly RR Chart Reading'!$A38, '1 Pattern 10min  Chart Reading'!U$3, "")</f>
        <v/>
      </c>
      <c r="X38" s="264" t="str">
        <f>IF('1 Pattern 10min  Chart Reading'!$D$2='4 Hourly RR Chart Reading'!$A38, '1 Pattern 10min  Chart Reading'!V$3, "")</f>
        <v/>
      </c>
      <c r="Y38" s="264" t="str">
        <f>IF('1 Pattern 10min  Chart Reading'!$D$2='4 Hourly RR Chart Reading'!$A38, '1 Pattern 10min  Chart Reading'!W$3, "")</f>
        <v/>
      </c>
      <c r="Z38" s="264" t="str">
        <f>IF('1 Pattern 10min  Chart Reading'!$D$2='4 Hourly RR Chart Reading'!$A38, '1 Pattern 10min  Chart Reading'!X$3, "")</f>
        <v/>
      </c>
      <c r="AA38" s="264" t="str">
        <f>IF('1 Pattern 10min  Chart Reading'!$D$2='4 Hourly RR Chart Reading'!$A38, '1 Pattern 10min  Chart Reading'!Y$3, "")</f>
        <v/>
      </c>
      <c r="AB38" s="264" t="str">
        <f>IF('1 Pattern 10min  Chart Reading'!$D$2='4 Hourly RR Chart Reading'!$A38, '1 Pattern 10min  Chart Reading'!Z$3, "")</f>
        <v/>
      </c>
      <c r="AC38" s="264" t="str">
        <f>IF('1 Pattern 10min  Chart Reading'!$D$2='4 Hourly RR Chart Reading'!$A38, '1 Pattern 10min  Chart Reading'!AA$3, "")</f>
        <v/>
      </c>
      <c r="AD38" s="264" t="str">
        <f>IF('1 Pattern 10min  Chart Reading'!$D$2='4 Hourly RR Chart Reading'!$A38, '1 Pattern 10min  Chart Reading'!AB$3, "")</f>
        <v/>
      </c>
      <c r="AE38" s="264" t="str">
        <f>IF('1 Pattern 10min  Chart Reading'!$D$2='4 Hourly RR Chart Reading'!$A38, '1 Pattern 10min  Chart Reading'!AC$3, "")</f>
        <v/>
      </c>
      <c r="AF38" s="15"/>
      <c r="AG38" s="139" t="str">
        <f t="shared" si="5"/>
        <v/>
      </c>
      <c r="AH38" s="140" t="str">
        <f t="shared" si="6"/>
        <v/>
      </c>
      <c r="AI38" s="140" t="str">
        <f t="shared" si="7"/>
        <v/>
      </c>
      <c r="AJ38" s="141" t="str">
        <f t="shared" si="8"/>
        <v/>
      </c>
      <c r="AK38" s="142" t="str">
        <f t="shared" si="1"/>
        <v/>
      </c>
      <c r="AL38" s="143" t="str">
        <f t="shared" si="2"/>
        <v/>
      </c>
      <c r="AM38" s="143" t="str">
        <f t="shared" si="3"/>
        <v/>
      </c>
      <c r="AN38" s="144" t="str">
        <f t="shared" si="4"/>
        <v/>
      </c>
      <c r="AO38" s="11"/>
      <c r="AP38" s="40"/>
      <c r="AQ38" s="40"/>
      <c r="AR38" s="40"/>
      <c r="AS38" s="40"/>
    </row>
    <row r="39" spans="1:45" ht="13.9" customHeight="1" thickBot="1" x14ac:dyDescent="0.3">
      <c r="A39" s="38">
        <v>28</v>
      </c>
      <c r="B39" s="28"/>
      <c r="C39" s="127">
        <f>'1 Pattern 10min  Chart Reading'!AI30</f>
        <v>0</v>
      </c>
      <c r="D39" s="128">
        <f>'1 Pattern 10min  Chart Reading'!AJ30</f>
        <v>0</v>
      </c>
      <c r="E39" s="128">
        <f>'1 Pattern 10min  Chart Reading'!AK30</f>
        <v>0</v>
      </c>
      <c r="F39" s="129">
        <f>'1 Pattern 10min  Chart Reading'!AL30</f>
        <v>0</v>
      </c>
      <c r="G39" s="108">
        <f t="shared" si="0"/>
        <v>0</v>
      </c>
      <c r="H39" s="264" t="str">
        <f>IF('1 Pattern 10min  Chart Reading'!$D$2='4 Hourly RR Chart Reading'!$A39, '1 Pattern 10min  Chart Reading'!F$3, "")</f>
        <v/>
      </c>
      <c r="I39" s="264" t="str">
        <f>IF('1 Pattern 10min  Chart Reading'!$D$2='4 Hourly RR Chart Reading'!$A39, '1 Pattern 10min  Chart Reading'!G$3, "")</f>
        <v/>
      </c>
      <c r="J39" s="264" t="str">
        <f>IF('1 Pattern 10min  Chart Reading'!$D$2='4 Hourly RR Chart Reading'!$A39, '1 Pattern 10min  Chart Reading'!H$3, "")</f>
        <v/>
      </c>
      <c r="K39" s="264" t="str">
        <f>IF('1 Pattern 10min  Chart Reading'!$D$2='4 Hourly RR Chart Reading'!$A39, '1 Pattern 10min  Chart Reading'!I$3, "")</f>
        <v/>
      </c>
      <c r="L39" s="264" t="str">
        <f>IF('1 Pattern 10min  Chart Reading'!$D$2='4 Hourly RR Chart Reading'!$A39, '1 Pattern 10min  Chart Reading'!J$3, "")</f>
        <v/>
      </c>
      <c r="M39" s="264" t="str">
        <f>IF('1 Pattern 10min  Chart Reading'!$D$2='4 Hourly RR Chart Reading'!$A39, '1 Pattern 10min  Chart Reading'!K$3, "")</f>
        <v/>
      </c>
      <c r="N39" s="264" t="str">
        <f>IF('1 Pattern 10min  Chart Reading'!$D$2='4 Hourly RR Chart Reading'!$A39, '1 Pattern 10min  Chart Reading'!L$3, "")</f>
        <v/>
      </c>
      <c r="O39" s="264" t="str">
        <f>IF('1 Pattern 10min  Chart Reading'!$D$2='4 Hourly RR Chart Reading'!$A39, '1 Pattern 10min  Chart Reading'!M$3, "")</f>
        <v/>
      </c>
      <c r="P39" s="264" t="str">
        <f>IF('1 Pattern 10min  Chart Reading'!$D$2='4 Hourly RR Chart Reading'!$A39, '1 Pattern 10min  Chart Reading'!N$3, "")</f>
        <v/>
      </c>
      <c r="Q39" s="264" t="str">
        <f>IF('1 Pattern 10min  Chart Reading'!$D$2='4 Hourly RR Chart Reading'!$A39, '1 Pattern 10min  Chart Reading'!O$3, "")</f>
        <v/>
      </c>
      <c r="R39" s="264" t="str">
        <f>IF('1 Pattern 10min  Chart Reading'!$D$2='4 Hourly RR Chart Reading'!$A39, '1 Pattern 10min  Chart Reading'!P$3, "")</f>
        <v/>
      </c>
      <c r="S39" s="264" t="str">
        <f>IF('1 Pattern 10min  Chart Reading'!$D$2='4 Hourly RR Chart Reading'!$A39, '1 Pattern 10min  Chart Reading'!Q$3, "")</f>
        <v/>
      </c>
      <c r="T39" s="264" t="str">
        <f>IF('1 Pattern 10min  Chart Reading'!$D$2='4 Hourly RR Chart Reading'!$A39, '1 Pattern 10min  Chart Reading'!R$3, "")</f>
        <v/>
      </c>
      <c r="U39" s="264" t="str">
        <f>IF('1 Pattern 10min  Chart Reading'!$D$2='4 Hourly RR Chart Reading'!$A39, '1 Pattern 10min  Chart Reading'!S$3, "")</f>
        <v/>
      </c>
      <c r="V39" s="264" t="str">
        <f>IF('1 Pattern 10min  Chart Reading'!$D$2='4 Hourly RR Chart Reading'!$A39, '1 Pattern 10min  Chart Reading'!T$3, "")</f>
        <v/>
      </c>
      <c r="W39" s="264" t="str">
        <f>IF('1 Pattern 10min  Chart Reading'!$D$2='4 Hourly RR Chart Reading'!$A39, '1 Pattern 10min  Chart Reading'!U$3, "")</f>
        <v/>
      </c>
      <c r="X39" s="264" t="str">
        <f>IF('1 Pattern 10min  Chart Reading'!$D$2='4 Hourly RR Chart Reading'!$A39, '1 Pattern 10min  Chart Reading'!V$3, "")</f>
        <v/>
      </c>
      <c r="Y39" s="264" t="str">
        <f>IF('1 Pattern 10min  Chart Reading'!$D$2='4 Hourly RR Chart Reading'!$A39, '1 Pattern 10min  Chart Reading'!W$3, "")</f>
        <v/>
      </c>
      <c r="Z39" s="264" t="str">
        <f>IF('1 Pattern 10min  Chart Reading'!$D$2='4 Hourly RR Chart Reading'!$A39, '1 Pattern 10min  Chart Reading'!X$3, "")</f>
        <v/>
      </c>
      <c r="AA39" s="264" t="str">
        <f>IF('1 Pattern 10min  Chart Reading'!$D$2='4 Hourly RR Chart Reading'!$A39, '1 Pattern 10min  Chart Reading'!Y$3, "")</f>
        <v/>
      </c>
      <c r="AB39" s="264" t="str">
        <f>IF('1 Pattern 10min  Chart Reading'!$D$2='4 Hourly RR Chart Reading'!$A39, '1 Pattern 10min  Chart Reading'!Z$3, "")</f>
        <v/>
      </c>
      <c r="AC39" s="264" t="str">
        <f>IF('1 Pattern 10min  Chart Reading'!$D$2='4 Hourly RR Chart Reading'!$A39, '1 Pattern 10min  Chart Reading'!AA$3, "")</f>
        <v/>
      </c>
      <c r="AD39" s="264" t="str">
        <f>IF('1 Pattern 10min  Chart Reading'!$D$2='4 Hourly RR Chart Reading'!$A39, '1 Pattern 10min  Chart Reading'!AB$3, "")</f>
        <v/>
      </c>
      <c r="AE39" s="264" t="str">
        <f>IF('1 Pattern 10min  Chart Reading'!$D$2='4 Hourly RR Chart Reading'!$A39, '1 Pattern 10min  Chart Reading'!AC$3, "")</f>
        <v/>
      </c>
      <c r="AF39" s="15"/>
      <c r="AG39" s="139" t="str">
        <f t="shared" si="5"/>
        <v/>
      </c>
      <c r="AH39" s="140" t="str">
        <f t="shared" si="6"/>
        <v/>
      </c>
      <c r="AI39" s="140" t="str">
        <f t="shared" si="7"/>
        <v/>
      </c>
      <c r="AJ39" s="141" t="str">
        <f t="shared" si="8"/>
        <v/>
      </c>
      <c r="AK39" s="142" t="str">
        <f t="shared" si="1"/>
        <v/>
      </c>
      <c r="AL39" s="143" t="str">
        <f t="shared" si="2"/>
        <v/>
      </c>
      <c r="AM39" s="143" t="str">
        <f t="shared" si="3"/>
        <v/>
      </c>
      <c r="AN39" s="144" t="str">
        <f t="shared" si="4"/>
        <v/>
      </c>
      <c r="AO39" s="11"/>
      <c r="AP39" s="40"/>
      <c r="AQ39" s="40"/>
      <c r="AR39" s="40"/>
      <c r="AS39" s="40"/>
    </row>
    <row r="40" spans="1:45" ht="13.9" customHeight="1" thickBot="1" x14ac:dyDescent="0.3">
      <c r="A40" s="38">
        <v>29</v>
      </c>
      <c r="B40" s="28"/>
      <c r="C40" s="127">
        <f>'1 Pattern 10min  Chart Reading'!AI31</f>
        <v>0</v>
      </c>
      <c r="D40" s="128">
        <f>'1 Pattern 10min  Chart Reading'!AJ31</f>
        <v>0</v>
      </c>
      <c r="E40" s="128">
        <f>'1 Pattern 10min  Chart Reading'!AK31</f>
        <v>0</v>
      </c>
      <c r="F40" s="129">
        <f>'1 Pattern 10min  Chart Reading'!AL31</f>
        <v>0</v>
      </c>
      <c r="G40" s="108">
        <f t="shared" si="0"/>
        <v>0</v>
      </c>
      <c r="H40" s="264" t="str">
        <f>IF('1 Pattern 10min  Chart Reading'!$D$2='4 Hourly RR Chart Reading'!$A40, '1 Pattern 10min  Chart Reading'!F$3, "")</f>
        <v/>
      </c>
      <c r="I40" s="264" t="str">
        <f>IF('1 Pattern 10min  Chart Reading'!$D$2='4 Hourly RR Chart Reading'!$A40, '1 Pattern 10min  Chart Reading'!G$3, "")</f>
        <v/>
      </c>
      <c r="J40" s="264" t="str">
        <f>IF('1 Pattern 10min  Chart Reading'!$D$2='4 Hourly RR Chart Reading'!$A40, '1 Pattern 10min  Chart Reading'!H$3, "")</f>
        <v/>
      </c>
      <c r="K40" s="264" t="str">
        <f>IF('1 Pattern 10min  Chart Reading'!$D$2='4 Hourly RR Chart Reading'!$A40, '1 Pattern 10min  Chart Reading'!I$3, "")</f>
        <v/>
      </c>
      <c r="L40" s="264" t="str">
        <f>IF('1 Pattern 10min  Chart Reading'!$D$2='4 Hourly RR Chart Reading'!$A40, '1 Pattern 10min  Chart Reading'!J$3, "")</f>
        <v/>
      </c>
      <c r="M40" s="264" t="str">
        <f>IF('1 Pattern 10min  Chart Reading'!$D$2='4 Hourly RR Chart Reading'!$A40, '1 Pattern 10min  Chart Reading'!K$3, "")</f>
        <v/>
      </c>
      <c r="N40" s="264" t="str">
        <f>IF('1 Pattern 10min  Chart Reading'!$D$2='4 Hourly RR Chart Reading'!$A40, '1 Pattern 10min  Chart Reading'!L$3, "")</f>
        <v/>
      </c>
      <c r="O40" s="264" t="str">
        <f>IF('1 Pattern 10min  Chart Reading'!$D$2='4 Hourly RR Chart Reading'!$A40, '1 Pattern 10min  Chart Reading'!M$3, "")</f>
        <v/>
      </c>
      <c r="P40" s="264" t="str">
        <f>IF('1 Pattern 10min  Chart Reading'!$D$2='4 Hourly RR Chart Reading'!$A40, '1 Pattern 10min  Chart Reading'!N$3, "")</f>
        <v/>
      </c>
      <c r="Q40" s="264" t="str">
        <f>IF('1 Pattern 10min  Chart Reading'!$D$2='4 Hourly RR Chart Reading'!$A40, '1 Pattern 10min  Chart Reading'!O$3, "")</f>
        <v/>
      </c>
      <c r="R40" s="264" t="str">
        <f>IF('1 Pattern 10min  Chart Reading'!$D$2='4 Hourly RR Chart Reading'!$A40, '1 Pattern 10min  Chart Reading'!P$3, "")</f>
        <v/>
      </c>
      <c r="S40" s="264" t="str">
        <f>IF('1 Pattern 10min  Chart Reading'!$D$2='4 Hourly RR Chart Reading'!$A40, '1 Pattern 10min  Chart Reading'!Q$3, "")</f>
        <v/>
      </c>
      <c r="T40" s="264" t="str">
        <f>IF('1 Pattern 10min  Chart Reading'!$D$2='4 Hourly RR Chart Reading'!$A40, '1 Pattern 10min  Chart Reading'!R$3, "")</f>
        <v/>
      </c>
      <c r="U40" s="264" t="str">
        <f>IF('1 Pattern 10min  Chart Reading'!$D$2='4 Hourly RR Chart Reading'!$A40, '1 Pattern 10min  Chart Reading'!S$3, "")</f>
        <v/>
      </c>
      <c r="V40" s="264" t="str">
        <f>IF('1 Pattern 10min  Chart Reading'!$D$2='4 Hourly RR Chart Reading'!$A40, '1 Pattern 10min  Chart Reading'!T$3, "")</f>
        <v/>
      </c>
      <c r="W40" s="264" t="str">
        <f>IF('1 Pattern 10min  Chart Reading'!$D$2='4 Hourly RR Chart Reading'!$A40, '1 Pattern 10min  Chart Reading'!U$3, "")</f>
        <v/>
      </c>
      <c r="X40" s="264" t="str">
        <f>IF('1 Pattern 10min  Chart Reading'!$D$2='4 Hourly RR Chart Reading'!$A40, '1 Pattern 10min  Chart Reading'!V$3, "")</f>
        <v/>
      </c>
      <c r="Y40" s="264" t="str">
        <f>IF('1 Pattern 10min  Chart Reading'!$D$2='4 Hourly RR Chart Reading'!$A40, '1 Pattern 10min  Chart Reading'!W$3, "")</f>
        <v/>
      </c>
      <c r="Z40" s="264" t="str">
        <f>IF('1 Pattern 10min  Chart Reading'!$D$2='4 Hourly RR Chart Reading'!$A40, '1 Pattern 10min  Chart Reading'!X$3, "")</f>
        <v/>
      </c>
      <c r="AA40" s="264" t="str">
        <f>IF('1 Pattern 10min  Chart Reading'!$D$2='4 Hourly RR Chart Reading'!$A40, '1 Pattern 10min  Chart Reading'!Y$3, "")</f>
        <v/>
      </c>
      <c r="AB40" s="264" t="str">
        <f>IF('1 Pattern 10min  Chart Reading'!$D$2='4 Hourly RR Chart Reading'!$A40, '1 Pattern 10min  Chart Reading'!Z$3, "")</f>
        <v/>
      </c>
      <c r="AC40" s="264" t="str">
        <f>IF('1 Pattern 10min  Chart Reading'!$D$2='4 Hourly RR Chart Reading'!$A40, '1 Pattern 10min  Chart Reading'!AA$3, "")</f>
        <v/>
      </c>
      <c r="AD40" s="264" t="str">
        <f>IF('1 Pattern 10min  Chart Reading'!$D$2='4 Hourly RR Chart Reading'!$A40, '1 Pattern 10min  Chart Reading'!AB$3, "")</f>
        <v/>
      </c>
      <c r="AE40" s="264" t="str">
        <f>IF('1 Pattern 10min  Chart Reading'!$D$2='4 Hourly RR Chart Reading'!$A40, '1 Pattern 10min  Chart Reading'!AC$3, "")</f>
        <v/>
      </c>
      <c r="AF40" s="15"/>
      <c r="AG40" s="139" t="str">
        <f t="shared" si="5"/>
        <v/>
      </c>
      <c r="AH40" s="140" t="str">
        <f t="shared" si="6"/>
        <v/>
      </c>
      <c r="AI40" s="140" t="str">
        <f t="shared" si="7"/>
        <v/>
      </c>
      <c r="AJ40" s="141" t="str">
        <f t="shared" si="8"/>
        <v/>
      </c>
      <c r="AK40" s="142" t="str">
        <f t="shared" si="1"/>
        <v/>
      </c>
      <c r="AL40" s="143" t="str">
        <f t="shared" si="2"/>
        <v/>
      </c>
      <c r="AM40" s="143" t="str">
        <f t="shared" si="3"/>
        <v/>
      </c>
      <c r="AN40" s="144" t="str">
        <f t="shared" si="4"/>
        <v/>
      </c>
      <c r="AP40" s="40"/>
      <c r="AQ40" s="40"/>
      <c r="AR40" s="40"/>
      <c r="AS40" s="40"/>
    </row>
    <row r="41" spans="1:45" ht="13.9" customHeight="1" thickBot="1" x14ac:dyDescent="0.3">
      <c r="A41" s="38">
        <v>30</v>
      </c>
      <c r="B41" s="28"/>
      <c r="C41" s="127">
        <f>'1 Pattern 10min  Chart Reading'!AI32</f>
        <v>0</v>
      </c>
      <c r="D41" s="128">
        <f>'1 Pattern 10min  Chart Reading'!AJ32</f>
        <v>0</v>
      </c>
      <c r="E41" s="128">
        <f>'1 Pattern 10min  Chart Reading'!AK32</f>
        <v>0</v>
      </c>
      <c r="F41" s="129">
        <f>'1 Pattern 10min  Chart Reading'!AL32</f>
        <v>0</v>
      </c>
      <c r="G41" s="108">
        <f t="shared" si="0"/>
        <v>0</v>
      </c>
      <c r="H41" s="264" t="str">
        <f>IF('1 Pattern 10min  Chart Reading'!$D$2='4 Hourly RR Chart Reading'!$A41, '1 Pattern 10min  Chart Reading'!F$3, "")</f>
        <v/>
      </c>
      <c r="I41" s="264" t="str">
        <f>IF('1 Pattern 10min  Chart Reading'!$D$2='4 Hourly RR Chart Reading'!$A41, '1 Pattern 10min  Chart Reading'!G$3, "")</f>
        <v/>
      </c>
      <c r="J41" s="264" t="str">
        <f>IF('1 Pattern 10min  Chart Reading'!$D$2='4 Hourly RR Chart Reading'!$A41, '1 Pattern 10min  Chart Reading'!H$3, "")</f>
        <v/>
      </c>
      <c r="K41" s="264" t="str">
        <f>IF('1 Pattern 10min  Chart Reading'!$D$2='4 Hourly RR Chart Reading'!$A41, '1 Pattern 10min  Chart Reading'!I$3, "")</f>
        <v/>
      </c>
      <c r="L41" s="264" t="str">
        <f>IF('1 Pattern 10min  Chart Reading'!$D$2='4 Hourly RR Chart Reading'!$A41, '1 Pattern 10min  Chart Reading'!J$3, "")</f>
        <v/>
      </c>
      <c r="M41" s="264" t="str">
        <f>IF('1 Pattern 10min  Chart Reading'!$D$2='4 Hourly RR Chart Reading'!$A41, '1 Pattern 10min  Chart Reading'!K$3, "")</f>
        <v/>
      </c>
      <c r="N41" s="264" t="str">
        <f>IF('1 Pattern 10min  Chart Reading'!$D$2='4 Hourly RR Chart Reading'!$A41, '1 Pattern 10min  Chart Reading'!L$3, "")</f>
        <v/>
      </c>
      <c r="O41" s="264" t="str">
        <f>IF('1 Pattern 10min  Chart Reading'!$D$2='4 Hourly RR Chart Reading'!$A41, '1 Pattern 10min  Chart Reading'!M$3, "")</f>
        <v/>
      </c>
      <c r="P41" s="264" t="str">
        <f>IF('1 Pattern 10min  Chart Reading'!$D$2='4 Hourly RR Chart Reading'!$A41, '1 Pattern 10min  Chart Reading'!N$3, "")</f>
        <v/>
      </c>
      <c r="Q41" s="264" t="str">
        <f>IF('1 Pattern 10min  Chart Reading'!$D$2='4 Hourly RR Chart Reading'!$A41, '1 Pattern 10min  Chart Reading'!O$3, "")</f>
        <v/>
      </c>
      <c r="R41" s="264" t="str">
        <f>IF('1 Pattern 10min  Chart Reading'!$D$2='4 Hourly RR Chart Reading'!$A41, '1 Pattern 10min  Chart Reading'!P$3, "")</f>
        <v/>
      </c>
      <c r="S41" s="264" t="str">
        <f>IF('1 Pattern 10min  Chart Reading'!$D$2='4 Hourly RR Chart Reading'!$A41, '1 Pattern 10min  Chart Reading'!Q$3, "")</f>
        <v/>
      </c>
      <c r="T41" s="264" t="str">
        <f>IF('1 Pattern 10min  Chart Reading'!$D$2='4 Hourly RR Chart Reading'!$A41, '1 Pattern 10min  Chart Reading'!R$3, "")</f>
        <v/>
      </c>
      <c r="U41" s="264" t="str">
        <f>IF('1 Pattern 10min  Chart Reading'!$D$2='4 Hourly RR Chart Reading'!$A41, '1 Pattern 10min  Chart Reading'!S$3, "")</f>
        <v/>
      </c>
      <c r="V41" s="264" t="str">
        <f>IF('1 Pattern 10min  Chart Reading'!$D$2='4 Hourly RR Chart Reading'!$A41, '1 Pattern 10min  Chart Reading'!T$3, "")</f>
        <v/>
      </c>
      <c r="W41" s="264" t="str">
        <f>IF('1 Pattern 10min  Chart Reading'!$D$2='4 Hourly RR Chart Reading'!$A41, '1 Pattern 10min  Chart Reading'!U$3, "")</f>
        <v/>
      </c>
      <c r="X41" s="264" t="str">
        <f>IF('1 Pattern 10min  Chart Reading'!$D$2='4 Hourly RR Chart Reading'!$A41, '1 Pattern 10min  Chart Reading'!V$3, "")</f>
        <v/>
      </c>
      <c r="Y41" s="264" t="str">
        <f>IF('1 Pattern 10min  Chart Reading'!$D$2='4 Hourly RR Chart Reading'!$A41, '1 Pattern 10min  Chart Reading'!W$3, "")</f>
        <v/>
      </c>
      <c r="Z41" s="264" t="str">
        <f>IF('1 Pattern 10min  Chart Reading'!$D$2='4 Hourly RR Chart Reading'!$A41, '1 Pattern 10min  Chart Reading'!X$3, "")</f>
        <v/>
      </c>
      <c r="AA41" s="264" t="str">
        <f>IF('1 Pattern 10min  Chart Reading'!$D$2='4 Hourly RR Chart Reading'!$A41, '1 Pattern 10min  Chart Reading'!Y$3, "")</f>
        <v/>
      </c>
      <c r="AB41" s="264" t="str">
        <f>IF('1 Pattern 10min  Chart Reading'!$D$2='4 Hourly RR Chart Reading'!$A41, '1 Pattern 10min  Chart Reading'!Z$3, "")</f>
        <v/>
      </c>
      <c r="AC41" s="264" t="str">
        <f>IF('1 Pattern 10min  Chart Reading'!$D$2='4 Hourly RR Chart Reading'!$A41, '1 Pattern 10min  Chart Reading'!AA$3, "")</f>
        <v/>
      </c>
      <c r="AD41" s="264" t="str">
        <f>IF('1 Pattern 10min  Chart Reading'!$D$2='4 Hourly RR Chart Reading'!$A41, '1 Pattern 10min  Chart Reading'!AB$3, "")</f>
        <v/>
      </c>
      <c r="AE41" s="264" t="str">
        <f>IF('1 Pattern 10min  Chart Reading'!$D$2='4 Hourly RR Chart Reading'!$A41, '1 Pattern 10min  Chart Reading'!AC$3, "")</f>
        <v/>
      </c>
      <c r="AF41" s="15"/>
      <c r="AG41" s="139" t="str">
        <f t="shared" si="5"/>
        <v/>
      </c>
      <c r="AH41" s="140" t="str">
        <f t="shared" si="6"/>
        <v/>
      </c>
      <c r="AI41" s="140" t="str">
        <f t="shared" si="7"/>
        <v/>
      </c>
      <c r="AJ41" s="141" t="str">
        <f t="shared" si="8"/>
        <v/>
      </c>
      <c r="AK41" s="142" t="str">
        <f t="shared" si="1"/>
        <v/>
      </c>
      <c r="AL41" s="143" t="str">
        <f t="shared" si="2"/>
        <v/>
      </c>
      <c r="AM41" s="143" t="str">
        <f t="shared" si="3"/>
        <v/>
      </c>
      <c r="AN41" s="144" t="str">
        <f t="shared" si="4"/>
        <v/>
      </c>
    </row>
    <row r="42" spans="1:45" ht="13.9" customHeight="1" thickBot="1" x14ac:dyDescent="0.3">
      <c r="A42" s="39">
        <v>31</v>
      </c>
      <c r="B42" s="29"/>
      <c r="C42" s="130">
        <f>'1 Pattern 10min  Chart Reading'!AI33</f>
        <v>0</v>
      </c>
      <c r="D42" s="131">
        <f>'1 Pattern 10min  Chart Reading'!AJ33</f>
        <v>0</v>
      </c>
      <c r="E42" s="131">
        <f>'1 Pattern 10min  Chart Reading'!AK33</f>
        <v>0</v>
      </c>
      <c r="F42" s="132">
        <f>'1 Pattern 10min  Chart Reading'!AL33</f>
        <v>0</v>
      </c>
      <c r="G42" s="123">
        <f t="shared" si="0"/>
        <v>0</v>
      </c>
      <c r="H42" s="264" t="str">
        <f>IF('1 Pattern 10min  Chart Reading'!$D$2='4 Hourly RR Chart Reading'!$A42, '1 Pattern 10min  Chart Reading'!F$3, "")</f>
        <v/>
      </c>
      <c r="I42" s="264" t="str">
        <f>IF('1 Pattern 10min  Chart Reading'!$D$2='4 Hourly RR Chart Reading'!$A42, '1 Pattern 10min  Chart Reading'!G$3, "")</f>
        <v/>
      </c>
      <c r="J42" s="264" t="str">
        <f>IF('1 Pattern 10min  Chart Reading'!$D$2='4 Hourly RR Chart Reading'!$A42, '1 Pattern 10min  Chart Reading'!H$3, "")</f>
        <v/>
      </c>
      <c r="K42" s="264" t="str">
        <f>IF('1 Pattern 10min  Chart Reading'!$D$2='4 Hourly RR Chart Reading'!$A42, '1 Pattern 10min  Chart Reading'!I$3, "")</f>
        <v/>
      </c>
      <c r="L42" s="264" t="str">
        <f>IF('1 Pattern 10min  Chart Reading'!$D$2='4 Hourly RR Chart Reading'!$A42, '1 Pattern 10min  Chart Reading'!J$3, "")</f>
        <v/>
      </c>
      <c r="M42" s="264" t="str">
        <f>IF('1 Pattern 10min  Chart Reading'!$D$2='4 Hourly RR Chart Reading'!$A42, '1 Pattern 10min  Chart Reading'!K$3, "")</f>
        <v/>
      </c>
      <c r="N42" s="264" t="str">
        <f>IF('1 Pattern 10min  Chart Reading'!$D$2='4 Hourly RR Chart Reading'!$A42, '1 Pattern 10min  Chart Reading'!L$3, "")</f>
        <v/>
      </c>
      <c r="O42" s="264" t="str">
        <f>IF('1 Pattern 10min  Chart Reading'!$D$2='4 Hourly RR Chart Reading'!$A42, '1 Pattern 10min  Chart Reading'!M$3, "")</f>
        <v/>
      </c>
      <c r="P42" s="264" t="str">
        <f>IF('1 Pattern 10min  Chart Reading'!$D$2='4 Hourly RR Chart Reading'!$A42, '1 Pattern 10min  Chart Reading'!N$3, "")</f>
        <v/>
      </c>
      <c r="Q42" s="264" t="str">
        <f>IF('1 Pattern 10min  Chart Reading'!$D$2='4 Hourly RR Chart Reading'!$A42, '1 Pattern 10min  Chart Reading'!O$3, "")</f>
        <v/>
      </c>
      <c r="R42" s="264" t="str">
        <f>IF('1 Pattern 10min  Chart Reading'!$D$2='4 Hourly RR Chart Reading'!$A42, '1 Pattern 10min  Chart Reading'!P$3, "")</f>
        <v/>
      </c>
      <c r="S42" s="264" t="str">
        <f>IF('1 Pattern 10min  Chart Reading'!$D$2='4 Hourly RR Chart Reading'!$A42, '1 Pattern 10min  Chart Reading'!Q$3, "")</f>
        <v/>
      </c>
      <c r="T42" s="264" t="str">
        <f>IF('1 Pattern 10min  Chart Reading'!$D$2='4 Hourly RR Chart Reading'!$A42, '1 Pattern 10min  Chart Reading'!R$3, "")</f>
        <v/>
      </c>
      <c r="U42" s="264" t="str">
        <f>IF('1 Pattern 10min  Chart Reading'!$D$2='4 Hourly RR Chart Reading'!$A42, '1 Pattern 10min  Chart Reading'!S$3, "")</f>
        <v/>
      </c>
      <c r="V42" s="264" t="str">
        <f>IF('1 Pattern 10min  Chart Reading'!$D$2='4 Hourly RR Chart Reading'!$A42, '1 Pattern 10min  Chart Reading'!T$3, "")</f>
        <v/>
      </c>
      <c r="W42" s="264" t="str">
        <f>IF('1 Pattern 10min  Chart Reading'!$D$2='4 Hourly RR Chart Reading'!$A42, '1 Pattern 10min  Chart Reading'!U$3, "")</f>
        <v/>
      </c>
      <c r="X42" s="264" t="str">
        <f>IF('1 Pattern 10min  Chart Reading'!$D$2='4 Hourly RR Chart Reading'!$A42, '1 Pattern 10min  Chart Reading'!V$3, "")</f>
        <v/>
      </c>
      <c r="Y42" s="264" t="str">
        <f>IF('1 Pattern 10min  Chart Reading'!$D$2='4 Hourly RR Chart Reading'!$A42, '1 Pattern 10min  Chart Reading'!W$3, "")</f>
        <v/>
      </c>
      <c r="Z42" s="264" t="str">
        <f>IF('1 Pattern 10min  Chart Reading'!$D$2='4 Hourly RR Chart Reading'!$A42, '1 Pattern 10min  Chart Reading'!X$3, "")</f>
        <v/>
      </c>
      <c r="AA42" s="264" t="str">
        <f>IF('1 Pattern 10min  Chart Reading'!$D$2='4 Hourly RR Chart Reading'!$A42, '1 Pattern 10min  Chart Reading'!Y$3, "")</f>
        <v/>
      </c>
      <c r="AB42" s="264" t="str">
        <f>IF('1 Pattern 10min  Chart Reading'!$D$2='4 Hourly RR Chart Reading'!$A42, '1 Pattern 10min  Chart Reading'!Z$3, "")</f>
        <v/>
      </c>
      <c r="AC42" s="264" t="str">
        <f>IF('1 Pattern 10min  Chart Reading'!$D$2='4 Hourly RR Chart Reading'!$A42, '1 Pattern 10min  Chart Reading'!AA$3, "")</f>
        <v/>
      </c>
      <c r="AD42" s="264" t="str">
        <f>IF('1 Pattern 10min  Chart Reading'!$D$2='4 Hourly RR Chart Reading'!$A42, '1 Pattern 10min  Chart Reading'!AB$3, "")</f>
        <v/>
      </c>
      <c r="AE42" s="264" t="str">
        <f>IF('1 Pattern 10min  Chart Reading'!$D$2='4 Hourly RR Chart Reading'!$A42, '1 Pattern 10min  Chart Reading'!AC$3, "")</f>
        <v/>
      </c>
      <c r="AF42" s="15"/>
      <c r="AG42" s="145" t="str">
        <f>IF(AND(H42="",M42=""),"",SUM(H42:M42))</f>
        <v/>
      </c>
      <c r="AH42" s="146" t="str">
        <f>IF(AND(N42="",S42=""),"",SUM(N42:S42))</f>
        <v/>
      </c>
      <c r="AI42" s="146" t="str">
        <f>IF(AND(T42="",Y42=""),"",SUM(T42:Y42))</f>
        <v/>
      </c>
      <c r="AJ42" s="147" t="str">
        <f>IF(AND(Z42="",AE42=""),"",SUM(Z42:AE42))</f>
        <v/>
      </c>
      <c r="AK42" s="148" t="str">
        <f t="shared" si="1"/>
        <v/>
      </c>
      <c r="AL42" s="149" t="str">
        <f t="shared" si="2"/>
        <v/>
      </c>
      <c r="AM42" s="149" t="str">
        <f t="shared" si="3"/>
        <v/>
      </c>
      <c r="AN42" s="150" t="str">
        <f t="shared" si="4"/>
        <v/>
      </c>
      <c r="AP42" t="s">
        <v>51</v>
      </c>
      <c r="AQ42" t="s">
        <v>51</v>
      </c>
      <c r="AR42" t="s">
        <v>51</v>
      </c>
      <c r="AS42" t="s">
        <v>51</v>
      </c>
    </row>
    <row r="43" spans="1:45" ht="13.7" customHeight="1" x14ac:dyDescent="0.25">
      <c r="A43" s="7"/>
      <c r="B43" s="7"/>
      <c r="AC43" s="9"/>
      <c r="AD43" s="9"/>
      <c r="AE43" s="9"/>
      <c r="AF43" s="9"/>
    </row>
    <row r="44" spans="1:45" ht="12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</row>
    <row r="45" spans="1:45" s="19" customFormat="1" x14ac:dyDescent="0.25">
      <c r="A45" s="307" t="s">
        <v>46</v>
      </c>
      <c r="B45" s="307"/>
      <c r="C45" s="307"/>
      <c r="D45" s="307"/>
      <c r="E45" s="350"/>
      <c r="F45" s="350"/>
      <c r="G45" s="350"/>
      <c r="H45" s="77" t="s">
        <v>9</v>
      </c>
      <c r="I45" s="349"/>
      <c r="J45" s="349"/>
      <c r="K45" s="349"/>
      <c r="L45" s="307" t="s">
        <v>47</v>
      </c>
      <c r="M45" s="307"/>
      <c r="N45" s="307"/>
      <c r="O45" s="350"/>
      <c r="P45" s="350"/>
      <c r="Q45" s="350"/>
      <c r="R45" s="1" t="s">
        <v>48</v>
      </c>
      <c r="S45" s="350"/>
      <c r="T45" s="350"/>
      <c r="U45" s="350"/>
      <c r="V45" s="1" t="s">
        <v>49</v>
      </c>
      <c r="W45" s="18"/>
      <c r="X45" s="18"/>
      <c r="Y45" s="350"/>
      <c r="Z45" s="350"/>
      <c r="AA45" s="350"/>
      <c r="AB45" s="1" t="s">
        <v>50</v>
      </c>
      <c r="AC45" s="349"/>
      <c r="AD45" s="349"/>
      <c r="AE45" s="349"/>
      <c r="AF45" s="18"/>
      <c r="AG45" s="18"/>
    </row>
    <row r="48" spans="1:45" x14ac:dyDescent="0.25">
      <c r="Y48" s="13"/>
    </row>
    <row r="49" spans="10:13" x14ac:dyDescent="0.25">
      <c r="J49" s="103"/>
      <c r="K49" s="103"/>
      <c r="L49" s="103"/>
      <c r="M49" s="103"/>
    </row>
    <row r="50" spans="10:13" x14ac:dyDescent="0.25">
      <c r="J50" s="103"/>
      <c r="K50" s="103"/>
      <c r="L50" s="103"/>
      <c r="M50" s="103"/>
    </row>
    <row r="51" spans="10:13" x14ac:dyDescent="0.25">
      <c r="J51" s="103"/>
      <c r="K51" s="103"/>
      <c r="L51" s="103"/>
      <c r="M51" s="103"/>
    </row>
    <row r="52" spans="10:13" x14ac:dyDescent="0.25">
      <c r="J52" s="103"/>
      <c r="K52" s="103"/>
      <c r="L52" s="103"/>
      <c r="M52" s="103"/>
    </row>
    <row r="53" spans="10:13" x14ac:dyDescent="0.25">
      <c r="J53" s="103"/>
      <c r="K53" s="103"/>
      <c r="L53" s="103"/>
      <c r="M53" s="103"/>
    </row>
    <row r="54" spans="10:13" x14ac:dyDescent="0.25">
      <c r="J54" s="103"/>
      <c r="K54" s="103"/>
      <c r="L54" s="103"/>
      <c r="M54" s="103"/>
    </row>
    <row r="55" spans="10:13" x14ac:dyDescent="0.25">
      <c r="J55" s="103"/>
      <c r="K55" s="103"/>
      <c r="L55" s="103"/>
      <c r="M55" s="103"/>
    </row>
    <row r="56" spans="10:13" x14ac:dyDescent="0.25">
      <c r="J56" s="103"/>
      <c r="K56" s="103"/>
      <c r="L56" s="103"/>
      <c r="M56" s="103"/>
    </row>
    <row r="57" spans="10:13" x14ac:dyDescent="0.25">
      <c r="J57" s="103"/>
      <c r="K57" s="103"/>
      <c r="L57" s="103"/>
      <c r="M57" s="103"/>
    </row>
    <row r="58" spans="10:13" x14ac:dyDescent="0.25">
      <c r="J58" s="103"/>
      <c r="K58" s="103"/>
      <c r="L58" s="103"/>
      <c r="M58" s="103"/>
    </row>
    <row r="59" spans="10:13" x14ac:dyDescent="0.25">
      <c r="J59" s="103"/>
      <c r="K59" s="103"/>
      <c r="L59" s="103"/>
      <c r="M59" s="103"/>
    </row>
    <row r="60" spans="10:13" x14ac:dyDescent="0.25">
      <c r="J60" s="103"/>
      <c r="K60" s="103"/>
      <c r="L60" s="103"/>
      <c r="M60" s="103"/>
    </row>
    <row r="61" spans="10:13" x14ac:dyDescent="0.25">
      <c r="J61" s="103"/>
      <c r="K61" s="103"/>
      <c r="L61" s="103"/>
      <c r="M61" s="103"/>
    </row>
    <row r="62" spans="10:13" x14ac:dyDescent="0.25">
      <c r="J62" s="103"/>
      <c r="K62" s="103"/>
      <c r="L62" s="103"/>
      <c r="M62" s="103"/>
    </row>
    <row r="63" spans="10:13" x14ac:dyDescent="0.25">
      <c r="J63" s="103"/>
      <c r="K63" s="103"/>
      <c r="L63" s="103"/>
      <c r="M63" s="103"/>
    </row>
    <row r="64" spans="10:13" x14ac:dyDescent="0.25">
      <c r="J64" s="103"/>
      <c r="K64" s="103"/>
      <c r="L64" s="103"/>
      <c r="M64" s="103"/>
    </row>
    <row r="65" spans="10:13" x14ac:dyDescent="0.25">
      <c r="J65" s="103"/>
      <c r="K65" s="103"/>
      <c r="L65" s="103"/>
      <c r="M65" s="103"/>
    </row>
    <row r="66" spans="10:13" x14ac:dyDescent="0.25">
      <c r="J66" s="103"/>
      <c r="K66" s="103"/>
      <c r="L66" s="103"/>
      <c r="M66" s="103"/>
    </row>
    <row r="67" spans="10:13" x14ac:dyDescent="0.25">
      <c r="J67" s="103"/>
      <c r="K67" s="103"/>
      <c r="L67" s="103"/>
      <c r="M67" s="103"/>
    </row>
    <row r="68" spans="10:13" x14ac:dyDescent="0.25">
      <c r="J68" s="103"/>
      <c r="K68" s="103"/>
      <c r="L68" s="103"/>
      <c r="M68" s="103"/>
    </row>
    <row r="69" spans="10:13" x14ac:dyDescent="0.25">
      <c r="J69" s="103"/>
      <c r="K69" s="103"/>
      <c r="L69" s="103"/>
      <c r="M69" s="103"/>
    </row>
    <row r="70" spans="10:13" x14ac:dyDescent="0.25">
      <c r="J70" s="103"/>
      <c r="K70" s="103"/>
      <c r="L70" s="103"/>
      <c r="M70" s="103"/>
    </row>
    <row r="71" spans="10:13" x14ac:dyDescent="0.25">
      <c r="J71" s="103"/>
      <c r="K71" s="103"/>
      <c r="L71" s="103"/>
      <c r="M71" s="103"/>
    </row>
    <row r="72" spans="10:13" x14ac:dyDescent="0.25">
      <c r="J72" s="103"/>
      <c r="K72" s="103"/>
      <c r="L72" s="103"/>
      <c r="M72" s="103"/>
    </row>
    <row r="73" spans="10:13" x14ac:dyDescent="0.25">
      <c r="J73" s="103"/>
      <c r="K73" s="103"/>
      <c r="L73" s="103"/>
      <c r="M73" s="103"/>
    </row>
    <row r="74" spans="10:13" x14ac:dyDescent="0.25">
      <c r="J74" s="103"/>
      <c r="K74" s="103"/>
      <c r="L74" s="103"/>
      <c r="M74" s="103"/>
    </row>
    <row r="75" spans="10:13" x14ac:dyDescent="0.25">
      <c r="J75" s="103"/>
      <c r="K75" s="103"/>
      <c r="L75" s="103"/>
      <c r="M75" s="103"/>
    </row>
    <row r="76" spans="10:13" x14ac:dyDescent="0.25">
      <c r="J76" s="103"/>
      <c r="K76" s="103"/>
      <c r="L76" s="103"/>
      <c r="M76" s="103"/>
    </row>
    <row r="77" spans="10:13" x14ac:dyDescent="0.25">
      <c r="J77" s="103"/>
      <c r="K77" s="103"/>
      <c r="L77" s="103"/>
      <c r="M77" s="103"/>
    </row>
    <row r="78" spans="10:13" x14ac:dyDescent="0.25">
      <c r="J78" s="103"/>
      <c r="K78" s="103"/>
      <c r="L78" s="103"/>
      <c r="M78" s="103"/>
    </row>
    <row r="79" spans="10:13" x14ac:dyDescent="0.25">
      <c r="J79" s="103"/>
      <c r="K79" s="103"/>
      <c r="L79" s="103"/>
      <c r="M79" s="103"/>
    </row>
  </sheetData>
  <mergeCells count="19">
    <mergeCell ref="AC45:AE45"/>
    <mergeCell ref="Y45:AA45"/>
    <mergeCell ref="A45:D45"/>
    <mergeCell ref="E45:G45"/>
    <mergeCell ref="I45:K45"/>
    <mergeCell ref="L45:N45"/>
    <mergeCell ref="O45:Q45"/>
    <mergeCell ref="S45:U45"/>
    <mergeCell ref="AK7:AN8"/>
    <mergeCell ref="AD2:AE2"/>
    <mergeCell ref="A9:A11"/>
    <mergeCell ref="B9:G10"/>
    <mergeCell ref="H9:AE10"/>
    <mergeCell ref="AB4:AC4"/>
    <mergeCell ref="AK9:AN10"/>
    <mergeCell ref="AG7:AJ10"/>
    <mergeCell ref="AB7:AC7"/>
    <mergeCell ref="X4:Z4"/>
    <mergeCell ref="X7:Z7"/>
  </mergeCells>
  <conditionalFormatting sqref="C12:F42">
    <cfRule type="cellIs" dxfId="13" priority="14" stopIfTrue="1" operator="greaterThan">
      <formula>0</formula>
    </cfRule>
  </conditionalFormatting>
  <conditionalFormatting sqref="G12:G42">
    <cfRule type="cellIs" dxfId="12" priority="13" operator="greaterThan">
      <formula>0.0005</formula>
    </cfRule>
  </conditionalFormatting>
  <conditionalFormatting sqref="H12:AE42">
    <cfRule type="cellIs" dxfId="11" priority="24" operator="greaterThan">
      <formula>0</formula>
    </cfRule>
  </conditionalFormatting>
  <conditionalFormatting sqref="J49:M79">
    <cfRule type="cellIs" dxfId="10" priority="17" stopIfTrue="1" operator="greaterThan">
      <formula>0</formula>
    </cfRule>
  </conditionalFormatting>
  <conditionalFormatting sqref="AG12:AN42">
    <cfRule type="cellIs" dxfId="9" priority="29" operator="greaterThan">
      <formula>0</formula>
    </cfRule>
  </conditionalFormatting>
  <conditionalFormatting sqref="AK12:AN42">
    <cfRule type="cellIs" dxfId="8" priority="34" operator="lessThan">
      <formula>100</formula>
    </cfRule>
    <cfRule type="cellIs" dxfId="7" priority="35" operator="lessThan">
      <formula>0</formula>
    </cfRule>
  </conditionalFormatting>
  <printOptions horizontalCentered="1" verticalCentered="1"/>
  <pageMargins left="0" right="0.9" top="0.25" bottom="0" header="0.3" footer="0.3"/>
  <pageSetup paperSize="5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7D7CA-72CD-4862-A5A7-CE3EDD9B2CD0}">
  <sheetPr codeName="Sheet8">
    <tabColor theme="5" tint="0.59999389629810485"/>
  </sheetPr>
  <dimension ref="A1:H73"/>
  <sheetViews>
    <sheetView topLeftCell="A28" workbookViewId="0">
      <selection activeCell="A44" sqref="A44"/>
    </sheetView>
  </sheetViews>
  <sheetFormatPr defaultRowHeight="15" x14ac:dyDescent="0.25"/>
  <cols>
    <col min="1" max="3" width="20.140625" style="259" customWidth="1"/>
  </cols>
  <sheetData>
    <row r="1" spans="1:8" ht="15.75" x14ac:dyDescent="0.25">
      <c r="A1" s="260" t="s">
        <v>233</v>
      </c>
      <c r="B1" s="260" t="s">
        <v>232</v>
      </c>
      <c r="C1" s="260" t="s">
        <v>303</v>
      </c>
    </row>
    <row r="2" spans="1:8" x14ac:dyDescent="0.25">
      <c r="A2" s="259" t="s">
        <v>292</v>
      </c>
      <c r="B2" s="259">
        <v>34</v>
      </c>
      <c r="C2" s="259" t="s">
        <v>366</v>
      </c>
      <c r="E2" s="256" t="str" cm="1">
        <f t="array" ref="E2">IFERROR(INDEX('1 Pattern 10min  Chart Reading'!$AI:$AI, MATCH('1 Pattern 10min  Chart Reading'!$D$2, '1 Pattern 10min  Chart Reading'!$AH$3:$AH$33, 0) + 2), "")</f>
        <v/>
      </c>
      <c r="F2" s="256" t="str" cm="1">
        <f t="array" ref="F2">IFERROR(INDEX('1 Pattern 10min  Chart Reading'!$AJ:$AJ, MATCH('1 Pattern 10min  Chart Reading'!$D$2, '1 Pattern 10min  Chart Reading'!$AH$3:$AH$33, 0) + 2), "")</f>
        <v/>
      </c>
      <c r="G2" s="256" t="str" cm="1">
        <f t="array" ref="G2">IFERROR(INDEX('1 Pattern 10min  Chart Reading'!$AK:$AK, MATCH('1 Pattern 10min  Chart Reading'!$D$2, '1 Pattern 10min  Chart Reading'!$AH$3:$AH$33, 0) + 2), "")</f>
        <v/>
      </c>
      <c r="H2" s="256" t="str" cm="1">
        <f t="array" ref="H2">IFERROR(INDEX('1 Pattern 10min  Chart Reading'!$AL:$AL, MATCH('1 Pattern 10min  Chart Reading'!$D$2, '1 Pattern 10min  Chart Reading'!$AH$3:$AH$33, 0) + 2), "")</f>
        <v/>
      </c>
    </row>
    <row r="3" spans="1:8" x14ac:dyDescent="0.25">
      <c r="A3" s="259" t="s">
        <v>291</v>
      </c>
      <c r="B3" s="259">
        <v>422</v>
      </c>
      <c r="C3" s="259" t="s">
        <v>365</v>
      </c>
    </row>
    <row r="4" spans="1:8" x14ac:dyDescent="0.25">
      <c r="A4" s="259" t="s">
        <v>246</v>
      </c>
      <c r="B4" s="259">
        <v>435</v>
      </c>
      <c r="C4" s="259" t="s">
        <v>313</v>
      </c>
    </row>
    <row r="5" spans="1:8" x14ac:dyDescent="0.25">
      <c r="A5" s="259" t="s">
        <v>269</v>
      </c>
      <c r="B5" s="259">
        <v>432</v>
      </c>
      <c r="C5" s="259" t="s">
        <v>334</v>
      </c>
    </row>
    <row r="6" spans="1:8" x14ac:dyDescent="0.25">
      <c r="A6" s="259" t="s">
        <v>235</v>
      </c>
      <c r="B6" s="259">
        <v>232</v>
      </c>
      <c r="C6" s="259" t="s">
        <v>312</v>
      </c>
    </row>
    <row r="7" spans="1:8" x14ac:dyDescent="0.25">
      <c r="A7" s="259" t="s">
        <v>264</v>
      </c>
      <c r="B7" s="259">
        <v>321</v>
      </c>
      <c r="C7" s="259" t="s">
        <v>342</v>
      </c>
    </row>
    <row r="8" spans="1:8" x14ac:dyDescent="0.25">
      <c r="A8" s="259" t="s">
        <v>281</v>
      </c>
      <c r="B8" s="259">
        <v>328</v>
      </c>
      <c r="C8" s="259" t="s">
        <v>359</v>
      </c>
    </row>
    <row r="9" spans="1:8" x14ac:dyDescent="0.25">
      <c r="A9" s="259" t="s">
        <v>284</v>
      </c>
      <c r="B9" s="259">
        <v>334</v>
      </c>
      <c r="C9" s="259" t="s">
        <v>361</v>
      </c>
    </row>
    <row r="10" spans="1:8" x14ac:dyDescent="0.25">
      <c r="A10" s="259" t="s">
        <v>262</v>
      </c>
      <c r="B10" s="259">
        <v>134</v>
      </c>
      <c r="C10" s="259" t="s">
        <v>339</v>
      </c>
    </row>
    <row r="11" spans="1:8" x14ac:dyDescent="0.25">
      <c r="A11" s="259" t="s">
        <v>250</v>
      </c>
      <c r="B11" s="259">
        <v>553</v>
      </c>
      <c r="C11" s="259" t="s">
        <v>323</v>
      </c>
    </row>
    <row r="12" spans="1:8" x14ac:dyDescent="0.25">
      <c r="A12" s="259" t="s">
        <v>294</v>
      </c>
      <c r="B12" s="259">
        <v>14</v>
      </c>
      <c r="C12" s="259" t="s">
        <v>294</v>
      </c>
    </row>
    <row r="13" spans="1:8" x14ac:dyDescent="0.25">
      <c r="A13" s="259" t="s">
        <v>295</v>
      </c>
      <c r="B13" s="259">
        <v>27</v>
      </c>
      <c r="C13" s="259" t="s">
        <v>368</v>
      </c>
    </row>
    <row r="14" spans="1:8" x14ac:dyDescent="0.25">
      <c r="A14" s="259" t="s">
        <v>290</v>
      </c>
      <c r="B14" s="259">
        <v>752</v>
      </c>
      <c r="C14" s="259" t="s">
        <v>353</v>
      </c>
    </row>
    <row r="15" spans="1:8" x14ac:dyDescent="0.25">
      <c r="A15" s="259" t="s">
        <v>288</v>
      </c>
      <c r="B15" s="259">
        <v>431</v>
      </c>
      <c r="C15" s="259" t="s">
        <v>364</v>
      </c>
    </row>
    <row r="16" spans="1:8" x14ac:dyDescent="0.25">
      <c r="A16" s="259" t="s">
        <v>234</v>
      </c>
      <c r="B16" s="259">
        <v>133</v>
      </c>
      <c r="C16" s="259" t="s">
        <v>304</v>
      </c>
    </row>
    <row r="17" spans="1:3" x14ac:dyDescent="0.25">
      <c r="A17" s="259" t="s">
        <v>297</v>
      </c>
      <c r="B17" s="259">
        <v>51</v>
      </c>
      <c r="C17" s="259" t="s">
        <v>369</v>
      </c>
    </row>
    <row r="18" spans="1:3" x14ac:dyDescent="0.25">
      <c r="A18" s="259" t="s">
        <v>285</v>
      </c>
      <c r="B18" s="259">
        <v>336</v>
      </c>
      <c r="C18" s="259" t="s">
        <v>362</v>
      </c>
    </row>
    <row r="19" spans="1:3" x14ac:dyDescent="0.25">
      <c r="A19" s="259" t="s">
        <v>256</v>
      </c>
      <c r="B19" s="259">
        <v>546</v>
      </c>
      <c r="C19" s="259" t="s">
        <v>309</v>
      </c>
    </row>
    <row r="20" spans="1:3" x14ac:dyDescent="0.25">
      <c r="A20" s="259" t="s">
        <v>221</v>
      </c>
      <c r="B20" s="259">
        <v>548</v>
      </c>
      <c r="C20" s="259" t="s">
        <v>307</v>
      </c>
    </row>
    <row r="21" spans="1:3" x14ac:dyDescent="0.25">
      <c r="A21" s="259" t="s">
        <v>302</v>
      </c>
      <c r="C21" s="259" t="s">
        <v>357</v>
      </c>
    </row>
    <row r="22" spans="1:3" x14ac:dyDescent="0.25">
      <c r="A22" s="259" t="s">
        <v>296</v>
      </c>
      <c r="B22" s="259">
        <v>28</v>
      </c>
      <c r="C22" s="259" t="s">
        <v>356</v>
      </c>
    </row>
    <row r="23" spans="1:3" x14ac:dyDescent="0.25">
      <c r="A23" s="259" t="s">
        <v>280</v>
      </c>
      <c r="B23" s="259">
        <v>327</v>
      </c>
      <c r="C23" s="259" t="s">
        <v>358</v>
      </c>
    </row>
    <row r="24" spans="1:3" x14ac:dyDescent="0.25">
      <c r="A24" s="259" t="s">
        <v>282</v>
      </c>
      <c r="B24" s="259">
        <v>329</v>
      </c>
      <c r="C24" s="259" t="s">
        <v>360</v>
      </c>
    </row>
    <row r="25" spans="1:3" x14ac:dyDescent="0.25">
      <c r="A25" s="259" t="s">
        <v>283</v>
      </c>
      <c r="B25" s="259">
        <v>329</v>
      </c>
      <c r="C25" s="259" t="s">
        <v>360</v>
      </c>
    </row>
    <row r="26" spans="1:3" x14ac:dyDescent="0.25">
      <c r="A26" s="259" t="s">
        <v>238</v>
      </c>
      <c r="B26" s="259">
        <v>526</v>
      </c>
      <c r="C26" s="259" t="s">
        <v>316</v>
      </c>
    </row>
    <row r="27" spans="1:3" x14ac:dyDescent="0.25">
      <c r="A27" s="259" t="s">
        <v>242</v>
      </c>
      <c r="B27" s="259">
        <v>746</v>
      </c>
      <c r="C27" s="259" t="s">
        <v>317</v>
      </c>
    </row>
    <row r="28" spans="1:3" x14ac:dyDescent="0.25">
      <c r="A28" s="259" t="s">
        <v>275</v>
      </c>
      <c r="B28" s="259">
        <v>630</v>
      </c>
      <c r="C28" s="259" t="s">
        <v>348</v>
      </c>
    </row>
    <row r="29" spans="1:3" x14ac:dyDescent="0.25">
      <c r="A29" s="259" t="s">
        <v>237</v>
      </c>
      <c r="B29" s="259">
        <v>440</v>
      </c>
      <c r="C29" s="259" t="s">
        <v>315</v>
      </c>
    </row>
    <row r="30" spans="1:3" x14ac:dyDescent="0.25">
      <c r="A30" s="259" t="s">
        <v>236</v>
      </c>
      <c r="B30" s="259">
        <v>325</v>
      </c>
      <c r="C30" s="259" t="s">
        <v>314</v>
      </c>
    </row>
    <row r="31" spans="1:3" x14ac:dyDescent="0.25">
      <c r="A31" s="259" t="s">
        <v>261</v>
      </c>
      <c r="B31" s="259">
        <v>753</v>
      </c>
      <c r="C31" s="259" t="s">
        <v>329</v>
      </c>
    </row>
    <row r="32" spans="1:3" x14ac:dyDescent="0.25">
      <c r="A32" s="259" t="s">
        <v>241</v>
      </c>
      <c r="B32" s="259">
        <v>741</v>
      </c>
      <c r="C32" s="259" t="s">
        <v>306</v>
      </c>
    </row>
    <row r="33" spans="1:3" x14ac:dyDescent="0.25">
      <c r="A33" s="259" t="s">
        <v>251</v>
      </c>
      <c r="B33" s="259">
        <v>642</v>
      </c>
      <c r="C33" s="259" t="s">
        <v>308</v>
      </c>
    </row>
    <row r="34" spans="1:3" x14ac:dyDescent="0.25">
      <c r="A34" s="259" t="s">
        <v>244</v>
      </c>
      <c r="B34" s="259">
        <v>851</v>
      </c>
      <c r="C34" s="259" t="s">
        <v>319</v>
      </c>
    </row>
    <row r="35" spans="1:3" x14ac:dyDescent="0.25">
      <c r="A35" s="259" t="s">
        <v>257</v>
      </c>
      <c r="B35" s="259">
        <v>558</v>
      </c>
      <c r="C35" s="259" t="s">
        <v>326</v>
      </c>
    </row>
    <row r="36" spans="1:3" x14ac:dyDescent="0.25">
      <c r="A36" s="259" t="s">
        <v>276</v>
      </c>
      <c r="B36" s="259">
        <v>755</v>
      </c>
      <c r="C36" s="259" t="s">
        <v>349</v>
      </c>
    </row>
    <row r="37" spans="1:3" x14ac:dyDescent="0.25">
      <c r="A37" s="259" t="s">
        <v>279</v>
      </c>
      <c r="B37" s="259">
        <v>324</v>
      </c>
      <c r="C37" s="259" t="s">
        <v>279</v>
      </c>
    </row>
    <row r="38" spans="1:3" x14ac:dyDescent="0.25">
      <c r="A38" s="259" t="s">
        <v>258</v>
      </c>
      <c r="B38" s="259">
        <v>637</v>
      </c>
      <c r="C38" s="259" t="s">
        <v>327</v>
      </c>
    </row>
    <row r="39" spans="1:3" x14ac:dyDescent="0.25">
      <c r="A39" s="259" t="s">
        <v>289</v>
      </c>
      <c r="B39" s="259">
        <v>434</v>
      </c>
      <c r="C39" s="259" t="s">
        <v>352</v>
      </c>
    </row>
    <row r="40" spans="1:3" x14ac:dyDescent="0.25">
      <c r="A40" s="259" t="s">
        <v>300</v>
      </c>
      <c r="B40" s="259">
        <v>132</v>
      </c>
      <c r="C40" s="259" t="s">
        <v>354</v>
      </c>
    </row>
    <row r="41" spans="1:3" x14ac:dyDescent="0.25">
      <c r="A41" s="259" t="s">
        <v>271</v>
      </c>
      <c r="B41" s="259">
        <v>545</v>
      </c>
      <c r="C41" s="259" t="s">
        <v>344</v>
      </c>
    </row>
    <row r="42" spans="1:3" x14ac:dyDescent="0.25">
      <c r="A42" s="259" t="s">
        <v>259</v>
      </c>
      <c r="B42" s="259">
        <v>747</v>
      </c>
      <c r="C42" s="259" t="s">
        <v>328</v>
      </c>
    </row>
    <row r="43" spans="1:3" x14ac:dyDescent="0.25">
      <c r="A43" s="259" t="s">
        <v>263</v>
      </c>
      <c r="B43" s="259">
        <v>223</v>
      </c>
      <c r="C43" s="259" t="s">
        <v>330</v>
      </c>
    </row>
    <row r="44" spans="1:3" x14ac:dyDescent="0.25">
      <c r="A44" s="259" t="s">
        <v>380</v>
      </c>
      <c r="B44" s="259">
        <v>444</v>
      </c>
      <c r="C44" s="259" t="s">
        <v>335</v>
      </c>
    </row>
    <row r="45" spans="1:3" x14ac:dyDescent="0.25">
      <c r="A45" s="259" t="s">
        <v>239</v>
      </c>
      <c r="B45" s="259">
        <v>648</v>
      </c>
      <c r="C45" s="259" t="s">
        <v>336</v>
      </c>
    </row>
    <row r="46" spans="1:3" x14ac:dyDescent="0.25">
      <c r="A46" s="259" t="s">
        <v>253</v>
      </c>
      <c r="B46" s="259">
        <v>646</v>
      </c>
      <c r="C46" s="259" t="s">
        <v>324</v>
      </c>
    </row>
    <row r="47" spans="1:3" x14ac:dyDescent="0.25">
      <c r="A47" s="259" t="s">
        <v>260</v>
      </c>
      <c r="B47" s="259">
        <v>751</v>
      </c>
      <c r="C47" s="259" t="s">
        <v>341</v>
      </c>
    </row>
    <row r="48" spans="1:3" x14ac:dyDescent="0.25">
      <c r="A48" s="259" t="s">
        <v>249</v>
      </c>
      <c r="B48" s="259">
        <v>543</v>
      </c>
      <c r="C48" s="259" t="s">
        <v>337</v>
      </c>
    </row>
    <row r="49" spans="1:3" x14ac:dyDescent="0.25">
      <c r="A49" s="259" t="s">
        <v>293</v>
      </c>
      <c r="B49" s="259">
        <v>6</v>
      </c>
      <c r="C49" s="259" t="s">
        <v>367</v>
      </c>
    </row>
    <row r="50" spans="1:3" x14ac:dyDescent="0.25">
      <c r="A50" s="259" t="s">
        <v>301</v>
      </c>
      <c r="B50" s="259">
        <v>437</v>
      </c>
      <c r="C50" s="259" t="s">
        <v>355</v>
      </c>
    </row>
    <row r="51" spans="1:3" x14ac:dyDescent="0.25">
      <c r="A51" s="259" t="s">
        <v>267</v>
      </c>
      <c r="B51" s="259">
        <v>429</v>
      </c>
      <c r="C51" s="259" t="s">
        <v>332</v>
      </c>
    </row>
    <row r="52" spans="1:3" x14ac:dyDescent="0.25">
      <c r="A52" s="259" t="s">
        <v>273</v>
      </c>
      <c r="B52" s="259">
        <v>602</v>
      </c>
      <c r="C52" s="259" t="s">
        <v>346</v>
      </c>
    </row>
    <row r="53" spans="1:3" x14ac:dyDescent="0.25">
      <c r="A53" s="259" t="s">
        <v>252</v>
      </c>
      <c r="B53" s="259">
        <v>644</v>
      </c>
      <c r="C53" s="259" t="s">
        <v>338</v>
      </c>
    </row>
    <row r="54" spans="1:3" x14ac:dyDescent="0.25">
      <c r="A54" s="259" t="s">
        <v>265</v>
      </c>
      <c r="B54" s="259">
        <v>425</v>
      </c>
      <c r="C54" s="259" t="s">
        <v>331</v>
      </c>
    </row>
    <row r="55" spans="1:3" x14ac:dyDescent="0.25">
      <c r="A55" s="259" t="s">
        <v>274</v>
      </c>
      <c r="B55" s="259">
        <v>618</v>
      </c>
      <c r="C55" s="259" t="s">
        <v>347</v>
      </c>
    </row>
    <row r="56" spans="1:3" x14ac:dyDescent="0.25">
      <c r="A56" s="259" t="s">
        <v>247</v>
      </c>
      <c r="B56" s="259">
        <v>536</v>
      </c>
      <c r="C56" s="259" t="s">
        <v>321</v>
      </c>
    </row>
    <row r="57" spans="1:3" x14ac:dyDescent="0.25">
      <c r="A57" s="259" t="s">
        <v>248</v>
      </c>
      <c r="B57" s="259">
        <v>538</v>
      </c>
      <c r="C57" s="259" t="s">
        <v>322</v>
      </c>
    </row>
    <row r="58" spans="1:3" x14ac:dyDescent="0.25">
      <c r="A58" s="259" t="s">
        <v>270</v>
      </c>
      <c r="B58" s="259">
        <v>531</v>
      </c>
      <c r="C58" s="259" t="s">
        <v>311</v>
      </c>
    </row>
    <row r="59" spans="1:3" x14ac:dyDescent="0.25">
      <c r="A59" s="259" t="s">
        <v>266</v>
      </c>
      <c r="B59" s="259">
        <v>428</v>
      </c>
      <c r="C59" s="259" t="s">
        <v>343</v>
      </c>
    </row>
    <row r="60" spans="1:3" x14ac:dyDescent="0.25">
      <c r="A60" s="259" t="s">
        <v>268</v>
      </c>
      <c r="B60" s="259">
        <v>430</v>
      </c>
      <c r="C60" s="259" t="s">
        <v>333</v>
      </c>
    </row>
    <row r="61" spans="1:3" x14ac:dyDescent="0.25">
      <c r="A61" s="259" t="s">
        <v>277</v>
      </c>
      <c r="B61" s="259">
        <v>222</v>
      </c>
      <c r="C61" s="259" t="s">
        <v>310</v>
      </c>
    </row>
    <row r="62" spans="1:3" x14ac:dyDescent="0.25">
      <c r="A62" s="259" t="s">
        <v>286</v>
      </c>
      <c r="B62" s="259">
        <v>426</v>
      </c>
      <c r="C62" s="259" t="s">
        <v>351</v>
      </c>
    </row>
    <row r="63" spans="1:3" x14ac:dyDescent="0.25">
      <c r="A63" s="259" t="s">
        <v>240</v>
      </c>
      <c r="B63" s="259">
        <v>653</v>
      </c>
      <c r="C63" s="259" t="s">
        <v>305</v>
      </c>
    </row>
    <row r="64" spans="1:3" x14ac:dyDescent="0.25">
      <c r="A64" s="259" t="s">
        <v>272</v>
      </c>
      <c r="B64" s="259">
        <v>550</v>
      </c>
      <c r="C64" s="259" t="s">
        <v>345</v>
      </c>
    </row>
    <row r="65" spans="1:3" x14ac:dyDescent="0.25">
      <c r="A65" s="259" t="s">
        <v>245</v>
      </c>
      <c r="B65" s="259">
        <v>433</v>
      </c>
      <c r="C65" s="259" t="s">
        <v>320</v>
      </c>
    </row>
    <row r="66" spans="1:3" x14ac:dyDescent="0.25">
      <c r="A66" s="259" t="s">
        <v>287</v>
      </c>
      <c r="B66" s="259">
        <v>427</v>
      </c>
      <c r="C66" s="259" t="s">
        <v>363</v>
      </c>
    </row>
    <row r="67" spans="1:3" x14ac:dyDescent="0.25">
      <c r="A67" s="259" t="s">
        <v>298</v>
      </c>
      <c r="B67" s="259">
        <v>18</v>
      </c>
      <c r="C67" s="259" t="s">
        <v>298</v>
      </c>
    </row>
    <row r="68" spans="1:3" x14ac:dyDescent="0.25">
      <c r="A68" s="259" t="s">
        <v>278</v>
      </c>
      <c r="B68" s="259">
        <v>233</v>
      </c>
      <c r="C68" s="259" t="s">
        <v>350</v>
      </c>
    </row>
    <row r="69" spans="1:3" x14ac:dyDescent="0.25">
      <c r="A69" s="259" t="s">
        <v>255</v>
      </c>
      <c r="B69" s="259">
        <v>447</v>
      </c>
      <c r="C69" s="259" t="s">
        <v>325</v>
      </c>
    </row>
    <row r="70" spans="1:3" x14ac:dyDescent="0.25">
      <c r="A70" s="259" t="s">
        <v>254</v>
      </c>
      <c r="B70" s="259">
        <v>446</v>
      </c>
      <c r="C70" s="259" t="s">
        <v>340</v>
      </c>
    </row>
    <row r="71" spans="1:3" x14ac:dyDescent="0.25">
      <c r="A71" s="259" t="s">
        <v>299</v>
      </c>
      <c r="B71" s="259">
        <v>55</v>
      </c>
      <c r="C71" s="259" t="s">
        <v>299</v>
      </c>
    </row>
    <row r="72" spans="1:3" x14ac:dyDescent="0.25">
      <c r="A72" s="259" t="s">
        <v>243</v>
      </c>
      <c r="B72" s="259">
        <v>836</v>
      </c>
      <c r="C72" s="259" t="s">
        <v>318</v>
      </c>
    </row>
    <row r="73" spans="1:3" x14ac:dyDescent="0.25">
      <c r="A73" s="259" t="s">
        <v>375</v>
      </c>
      <c r="B73" s="259" t="s">
        <v>376</v>
      </c>
    </row>
  </sheetData>
  <sortState xmlns:xlrd2="http://schemas.microsoft.com/office/spreadsheetml/2017/richdata2" ref="A2:C72">
    <sortCondition ref="A2:A7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5" tint="0.59999389629810485"/>
  </sheetPr>
  <dimension ref="A1:AJ46"/>
  <sheetViews>
    <sheetView workbookViewId="0">
      <pane xSplit="1" topLeftCell="B1" activePane="topRight" state="frozen"/>
      <selection activeCell="P21" sqref="P21"/>
      <selection pane="topRight" activeCell="A7" sqref="A7"/>
    </sheetView>
  </sheetViews>
  <sheetFormatPr defaultColWidth="9.140625" defaultRowHeight="15" x14ac:dyDescent="0.25"/>
  <cols>
    <col min="1" max="1" width="2.85546875" style="42" customWidth="1"/>
    <col min="2" max="2" width="3.42578125" style="42" customWidth="1"/>
    <col min="3" max="6" width="5.28515625" style="42" customWidth="1"/>
    <col min="7" max="7" width="5.7109375" style="42" customWidth="1"/>
    <col min="8" max="8" width="5.28515625" style="42" customWidth="1"/>
    <col min="9" max="9" width="5.7109375" style="42" customWidth="1"/>
    <col min="10" max="13" width="5.28515625" style="42" customWidth="1"/>
    <col min="14" max="14" width="5.5703125" style="42" customWidth="1"/>
    <col min="15" max="22" width="5.28515625" style="42" customWidth="1"/>
    <col min="23" max="23" width="5.7109375" style="42" customWidth="1"/>
    <col min="24" max="25" width="5.28515625" style="42" customWidth="1"/>
    <col min="26" max="26" width="5.7109375" style="42" customWidth="1"/>
    <col min="27" max="27" width="5.85546875" style="42" customWidth="1"/>
    <col min="28" max="28" width="5.5703125" style="42" customWidth="1"/>
    <col min="29" max="32" width="5.28515625" style="42" customWidth="1"/>
    <col min="33" max="16384" width="9.140625" style="42"/>
  </cols>
  <sheetData>
    <row r="1" spans="1:36" ht="5.25" customHeight="1" thickBot="1" x14ac:dyDescent="0.3"/>
    <row r="2" spans="1:36" ht="3.75" customHeight="1" x14ac:dyDescent="0.25">
      <c r="A2" s="43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3"/>
      <c r="X2" s="44"/>
      <c r="Y2" s="44"/>
      <c r="Z2" s="44"/>
      <c r="AA2" s="44"/>
      <c r="AB2" s="44"/>
      <c r="AC2" s="44"/>
      <c r="AD2" s="360"/>
      <c r="AE2" s="361"/>
      <c r="AF2" s="45"/>
    </row>
    <row r="3" spans="1:36" ht="12" customHeight="1" x14ac:dyDescent="0.25">
      <c r="A3" s="46" t="s">
        <v>5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V3" s="47"/>
      <c r="W3" s="48" t="s">
        <v>8</v>
      </c>
      <c r="X3" s="49"/>
      <c r="Y3" s="49" t="s">
        <v>30</v>
      </c>
      <c r="Z3" s="49"/>
      <c r="AA3" s="49"/>
      <c r="AB3" s="49"/>
      <c r="AC3" s="49"/>
      <c r="AD3" s="50"/>
      <c r="AE3" s="51"/>
    </row>
    <row r="4" spans="1:36" ht="12" customHeight="1" x14ac:dyDescent="0.25">
      <c r="A4" s="46" t="s">
        <v>6</v>
      </c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5"/>
      <c r="T4" s="47"/>
      <c r="U4" s="47"/>
      <c r="V4" s="47"/>
      <c r="W4" s="48"/>
      <c r="X4" s="357" t="str">
        <f>IF('4 Hourly RR Chart Reading'!X4="","",'4 Hourly RR Chart Reading'!X4)</f>
        <v>Station</v>
      </c>
      <c r="Y4" s="357"/>
      <c r="Z4" s="357"/>
      <c r="AA4" s="49"/>
      <c r="AB4" s="357" t="str">
        <f>IF('4 Hourly RR Chart Reading'!AB4="","",'4 Hourly RR Chart Reading'!AB4)</f>
        <v/>
      </c>
      <c r="AC4" s="357"/>
      <c r="AD4" s="49"/>
      <c r="AE4" s="52"/>
      <c r="AF4" s="47"/>
    </row>
    <row r="5" spans="1:36" ht="12" customHeight="1" x14ac:dyDescent="0.25">
      <c r="A5" s="46" t="s">
        <v>7</v>
      </c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8"/>
      <c r="X5" s="49"/>
      <c r="Y5" s="49"/>
      <c r="Z5" s="49"/>
      <c r="AA5" s="49"/>
      <c r="AB5" s="49"/>
      <c r="AC5" s="49"/>
      <c r="AD5" s="49"/>
      <c r="AE5" s="52"/>
      <c r="AF5" s="47"/>
    </row>
    <row r="6" spans="1:36" ht="5.25" customHeight="1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8"/>
      <c r="X6" s="49"/>
      <c r="Y6" s="49"/>
      <c r="Z6" s="49"/>
      <c r="AA6" s="49"/>
      <c r="AB6" s="49"/>
      <c r="AC6" s="49"/>
      <c r="AD6" s="49"/>
      <c r="AE6" s="52"/>
      <c r="AF6" s="47"/>
    </row>
    <row r="7" spans="1:36" ht="14.25" customHeight="1" x14ac:dyDescent="0.25">
      <c r="A7" s="46" t="s">
        <v>379</v>
      </c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V7" s="47"/>
      <c r="W7" s="48" t="s">
        <v>31</v>
      </c>
      <c r="X7" s="357" t="str">
        <f>IF('4 Hourly RR Chart Reading'!X7="","",'4 Hourly RR Chart Reading'!X7)</f>
        <v>MMM</v>
      </c>
      <c r="Y7" s="357"/>
      <c r="Z7" s="357"/>
      <c r="AA7" s="49"/>
      <c r="AB7" s="357" t="str">
        <f>IF('4 Hourly RR Chart Reading'!AB7="","",'4 Hourly RR Chart Reading'!AB7)</f>
        <v>YYYY</v>
      </c>
      <c r="AC7" s="357"/>
      <c r="AD7" s="53"/>
      <c r="AE7" s="52"/>
      <c r="AF7" s="47"/>
    </row>
    <row r="8" spans="1:36" ht="3.75" customHeight="1" thickBot="1" x14ac:dyDescent="0.3">
      <c r="A8" s="54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4"/>
      <c r="X8" s="55"/>
      <c r="Y8" s="55"/>
      <c r="Z8" s="55"/>
      <c r="AA8" s="55"/>
      <c r="AB8" s="55"/>
      <c r="AC8" s="55"/>
      <c r="AD8" s="55"/>
      <c r="AE8" s="56"/>
      <c r="AF8" s="47"/>
    </row>
    <row r="9" spans="1:36" ht="9" customHeight="1" x14ac:dyDescent="0.25">
      <c r="A9" s="362" t="s">
        <v>9</v>
      </c>
      <c r="B9" s="365" t="s">
        <v>26</v>
      </c>
      <c r="C9" s="366"/>
      <c r="D9" s="366"/>
      <c r="E9" s="366"/>
      <c r="F9" s="366"/>
      <c r="G9" s="367"/>
      <c r="H9" s="371" t="s">
        <v>32</v>
      </c>
      <c r="I9" s="372"/>
      <c r="J9" s="372"/>
      <c r="K9" s="372"/>
      <c r="L9" s="372"/>
      <c r="M9" s="372"/>
      <c r="N9" s="372"/>
      <c r="O9" s="372"/>
      <c r="P9" s="372"/>
      <c r="Q9" s="372"/>
      <c r="R9" s="372"/>
      <c r="S9" s="372"/>
      <c r="T9" s="372"/>
      <c r="U9" s="372"/>
      <c r="V9" s="372"/>
      <c r="W9" s="372"/>
      <c r="X9" s="372"/>
      <c r="Y9" s="372"/>
      <c r="Z9" s="372"/>
      <c r="AA9" s="372"/>
      <c r="AB9" s="372"/>
      <c r="AC9" s="372"/>
      <c r="AD9" s="372"/>
      <c r="AE9" s="373"/>
      <c r="AF9" s="57"/>
      <c r="AG9" s="351" t="s">
        <v>219</v>
      </c>
      <c r="AH9" s="352"/>
      <c r="AI9" s="352"/>
      <c r="AJ9" s="353"/>
    </row>
    <row r="10" spans="1:36" ht="7.5" customHeight="1" thickBot="1" x14ac:dyDescent="0.3">
      <c r="A10" s="363"/>
      <c r="B10" s="368"/>
      <c r="C10" s="369"/>
      <c r="D10" s="369"/>
      <c r="E10" s="369"/>
      <c r="F10" s="369"/>
      <c r="G10" s="370"/>
      <c r="H10" s="374"/>
      <c r="I10" s="375"/>
      <c r="J10" s="375"/>
      <c r="K10" s="375"/>
      <c r="L10" s="375"/>
      <c r="M10" s="375"/>
      <c r="N10" s="375"/>
      <c r="O10" s="375"/>
      <c r="P10" s="375"/>
      <c r="Q10" s="375"/>
      <c r="R10" s="375"/>
      <c r="S10" s="375"/>
      <c r="T10" s="375"/>
      <c r="U10" s="375"/>
      <c r="V10" s="375"/>
      <c r="W10" s="375"/>
      <c r="X10" s="375"/>
      <c r="Y10" s="375"/>
      <c r="Z10" s="375"/>
      <c r="AA10" s="375"/>
      <c r="AB10" s="375"/>
      <c r="AC10" s="375"/>
      <c r="AD10" s="375"/>
      <c r="AE10" s="376"/>
      <c r="AF10" s="57"/>
      <c r="AG10" s="354"/>
      <c r="AH10" s="355"/>
      <c r="AI10" s="355"/>
      <c r="AJ10" s="356"/>
    </row>
    <row r="11" spans="1:36" ht="22.5" customHeight="1" thickBot="1" x14ac:dyDescent="0.3">
      <c r="A11" s="364"/>
      <c r="B11" s="58" t="s">
        <v>33</v>
      </c>
      <c r="C11" s="59">
        <v>0.58333333333333304</v>
      </c>
      <c r="D11" s="59">
        <v>0.83333333333333404</v>
      </c>
      <c r="E11" s="59">
        <v>8.3333333333333301E-2</v>
      </c>
      <c r="F11" s="60">
        <v>0.33333333333333331</v>
      </c>
      <c r="G11" s="61" t="s">
        <v>29</v>
      </c>
      <c r="H11" s="62">
        <v>0.375</v>
      </c>
      <c r="I11" s="59">
        <v>0.41666666666666702</v>
      </c>
      <c r="J11" s="59">
        <v>0.45833333333333398</v>
      </c>
      <c r="K11" s="63" t="s">
        <v>27</v>
      </c>
      <c r="L11" s="59">
        <v>0.54166666666666663</v>
      </c>
      <c r="M11" s="64">
        <v>0.58333333333333304</v>
      </c>
      <c r="N11" s="62">
        <v>0.625</v>
      </c>
      <c r="O11" s="59">
        <v>0.66666666666666696</v>
      </c>
      <c r="P11" s="59">
        <v>0.70833333333333404</v>
      </c>
      <c r="Q11" s="59">
        <v>0.750000000000001</v>
      </c>
      <c r="R11" s="59">
        <v>0.79166666666666796</v>
      </c>
      <c r="S11" s="64">
        <v>0.83333333333333404</v>
      </c>
      <c r="T11" s="62">
        <v>0.875000000000001</v>
      </c>
      <c r="U11" s="59">
        <v>0.91666666666666696</v>
      </c>
      <c r="V11" s="59">
        <v>0.95833333333333404</v>
      </c>
      <c r="W11" s="63" t="s">
        <v>28</v>
      </c>
      <c r="X11" s="59">
        <v>4.1666666666666664E-2</v>
      </c>
      <c r="Y11" s="64">
        <v>8.3333333333333301E-2</v>
      </c>
      <c r="Z11" s="65">
        <v>0.125</v>
      </c>
      <c r="AA11" s="59">
        <v>0.16666666666666699</v>
      </c>
      <c r="AB11" s="59">
        <v>0.20833333333333301</v>
      </c>
      <c r="AC11" s="59">
        <v>0.25</v>
      </c>
      <c r="AD11" s="59">
        <v>0.29166666666666669</v>
      </c>
      <c r="AE11" s="64">
        <v>0.33333333333333331</v>
      </c>
      <c r="AF11" s="66"/>
      <c r="AG11" s="67">
        <v>0.58333333333333304</v>
      </c>
      <c r="AH11" s="68">
        <v>0.83333333333333404</v>
      </c>
      <c r="AI11" s="68">
        <v>8.3333333333333301E-2</v>
      </c>
      <c r="AJ11" s="69">
        <v>0.33333333333333331</v>
      </c>
    </row>
    <row r="12" spans="1:36" ht="13.9" customHeight="1" x14ac:dyDescent="0.25">
      <c r="A12" s="70">
        <v>1</v>
      </c>
      <c r="B12" s="71" t="str">
        <f>IF('4 Hourly RR Chart Reading'!B12="","",'4 Hourly RR Chart Reading'!B12)</f>
        <v/>
      </c>
      <c r="C12" s="168">
        <f>IF('4 Hourly RR Chart Reading'!C12="","",'4 Hourly RR Chart Reading'!C12)</f>
        <v>0</v>
      </c>
      <c r="D12" s="169">
        <f>IF('4 Hourly RR Chart Reading'!D12="","",'4 Hourly RR Chart Reading'!D12)</f>
        <v>0</v>
      </c>
      <c r="E12" s="169">
        <f>IF('4 Hourly RR Chart Reading'!E12="","",'4 Hourly RR Chart Reading'!E12)</f>
        <v>0</v>
      </c>
      <c r="F12" s="170">
        <f>IF('4 Hourly RR Chart Reading'!F12="","",'4 Hourly RR Chart Reading'!F12)</f>
        <v>0</v>
      </c>
      <c r="G12" s="171">
        <f>IF('4 Hourly RR Chart Reading'!G12="","",'4 Hourly RR Chart Reading'!G12)</f>
        <v>0</v>
      </c>
      <c r="H12" s="161" t="str">
        <f>IF('4 Hourly RR Chart Reading'!H12="","",'4 Hourly RR Chart Reading'!H12*'4 Hourly RR Chart Reading'!AK12)</f>
        <v/>
      </c>
      <c r="I12" s="125" t="str">
        <f>IF('4 Hourly RR Chart Reading'!I12="","",'4 Hourly RR Chart Reading'!I12*'4 Hourly RR Chart Reading'!AK12)</f>
        <v/>
      </c>
      <c r="J12" s="125" t="str">
        <f>IF('4 Hourly RR Chart Reading'!J12="","",'4 Hourly RR Chart Reading'!J12*'4 Hourly RR Chart Reading'!AK12)</f>
        <v/>
      </c>
      <c r="K12" s="125" t="str">
        <f>IF('4 Hourly RR Chart Reading'!K12="","",'4 Hourly RR Chart Reading'!K12*'4 Hourly RR Chart Reading'!AK12)</f>
        <v/>
      </c>
      <c r="L12" s="125" t="str">
        <f>IF('4 Hourly RR Chart Reading'!L12="","",'4 Hourly RR Chart Reading'!L12*'4 Hourly RR Chart Reading'!AK12)</f>
        <v/>
      </c>
      <c r="M12" s="126" t="str">
        <f>IF('4 Hourly RR Chart Reading'!M12="","",'4 Hourly RR Chart Reading'!M12*'4 Hourly RR Chart Reading'!AK12)</f>
        <v/>
      </c>
      <c r="N12" s="161" t="str">
        <f>IF('4 Hourly RR Chart Reading'!N12="","",'4 Hourly RR Chart Reading'!N12*'4 Hourly RR Chart Reading'!AL12)</f>
        <v/>
      </c>
      <c r="O12" s="125" t="str">
        <f>IF('4 Hourly RR Chart Reading'!O12="","",'4 Hourly RR Chart Reading'!O12*'4 Hourly RR Chart Reading'!AL12)</f>
        <v/>
      </c>
      <c r="P12" s="125" t="str">
        <f>IF('4 Hourly RR Chart Reading'!P12="","",'4 Hourly RR Chart Reading'!P12*'4 Hourly RR Chart Reading'!AL12)</f>
        <v/>
      </c>
      <c r="Q12" s="125" t="str">
        <f>IF('4 Hourly RR Chart Reading'!Q12="","",'4 Hourly RR Chart Reading'!Q12*'4 Hourly RR Chart Reading'!AL12)</f>
        <v/>
      </c>
      <c r="R12" s="125" t="str">
        <f>IF('4 Hourly RR Chart Reading'!R12="","",'4 Hourly RR Chart Reading'!R12*'4 Hourly RR Chart Reading'!AL12)</f>
        <v/>
      </c>
      <c r="S12" s="162" t="str">
        <f>IF('4 Hourly RR Chart Reading'!S12="","",'4 Hourly RR Chart Reading'!S12*'4 Hourly RR Chart Reading'!AL12)</f>
        <v/>
      </c>
      <c r="T12" s="124" t="str">
        <f>IF('4 Hourly RR Chart Reading'!T12="","",'4 Hourly RR Chart Reading'!T12*'4 Hourly RR Chart Reading'!AM12)</f>
        <v/>
      </c>
      <c r="U12" s="125" t="str">
        <f>IF('4 Hourly RR Chart Reading'!U12="","",'4 Hourly RR Chart Reading'!U12*'4 Hourly RR Chart Reading'!AM12)</f>
        <v/>
      </c>
      <c r="V12" s="125" t="str">
        <f>IF('4 Hourly RR Chart Reading'!V12="","",'4 Hourly RR Chart Reading'!V12*'4 Hourly RR Chart Reading'!AM12)</f>
        <v/>
      </c>
      <c r="W12" s="125" t="str">
        <f>IF('4 Hourly RR Chart Reading'!W12="","",'4 Hourly RR Chart Reading'!W12*'4 Hourly RR Chart Reading'!AM12)</f>
        <v/>
      </c>
      <c r="X12" s="125" t="str">
        <f>IF('4 Hourly RR Chart Reading'!X12="","",'4 Hourly RR Chart Reading'!X12*'4 Hourly RR Chart Reading'!AM12)</f>
        <v/>
      </c>
      <c r="Y12" s="126" t="str">
        <f>IF('4 Hourly RR Chart Reading'!Y12="","",'4 Hourly RR Chart Reading'!Y12*'4 Hourly RR Chart Reading'!AM12)</f>
        <v/>
      </c>
      <c r="Z12" s="161" t="str">
        <f>IF('4 Hourly RR Chart Reading'!Z12="","",'4 Hourly RR Chart Reading'!Z12*'4 Hourly RR Chart Reading'!AN12)</f>
        <v/>
      </c>
      <c r="AA12" s="125" t="str">
        <f>IF('4 Hourly RR Chart Reading'!AA12="","",'4 Hourly RR Chart Reading'!AA12*'4 Hourly RR Chart Reading'!AN12)</f>
        <v/>
      </c>
      <c r="AB12" s="125" t="str">
        <f>IF('4 Hourly RR Chart Reading'!AB12="","",'4 Hourly RR Chart Reading'!AB12*'4 Hourly RR Chart Reading'!AN12)</f>
        <v/>
      </c>
      <c r="AC12" s="125" t="str">
        <f>IF('4 Hourly RR Chart Reading'!AC12="","",'4 Hourly RR Chart Reading'!AC12*'4 Hourly RR Chart Reading'!AN12)</f>
        <v/>
      </c>
      <c r="AD12" s="125" t="str">
        <f>IF('4 Hourly RR Chart Reading'!AD12="","",'4 Hourly RR Chart Reading'!AD12*'4 Hourly RR Chart Reading'!AN12)</f>
        <v/>
      </c>
      <c r="AE12" s="126" t="str">
        <f>IF('4 Hourly RR Chart Reading'!AE12="","",'4 Hourly RR Chart Reading'!AE12*'4 Hourly RR Chart Reading'!AN12)</f>
        <v/>
      </c>
      <c r="AF12" s="151"/>
      <c r="AG12" s="152" t="str">
        <f>IF(AND(H12="",M12=""),"",SUM(H12:M12))</f>
        <v/>
      </c>
      <c r="AH12" s="153" t="str">
        <f>IF(AND(N12="",S12=""),"",SUM(N12:S12))</f>
        <v/>
      </c>
      <c r="AI12" s="153" t="str">
        <f>IF(AND(T12="",Y12=""),"",SUM(T12:Y12))</f>
        <v/>
      </c>
      <c r="AJ12" s="154" t="str">
        <f>IF(AND(Z12="",AE12=""),"",SUM(Z12:AE12))</f>
        <v/>
      </c>
    </row>
    <row r="13" spans="1:36" ht="13.9" customHeight="1" x14ac:dyDescent="0.25">
      <c r="A13" s="72">
        <v>2</v>
      </c>
      <c r="B13" s="73" t="str">
        <f>IF('4 Hourly RR Chart Reading'!B13="","",'4 Hourly RR Chart Reading'!B13)</f>
        <v/>
      </c>
      <c r="C13" s="172">
        <f>IF('4 Hourly RR Chart Reading'!C13="","",'4 Hourly RR Chart Reading'!C13)</f>
        <v>0</v>
      </c>
      <c r="D13" s="173">
        <f>IF('4 Hourly RR Chart Reading'!D13="","",'4 Hourly RR Chart Reading'!D13)</f>
        <v>0</v>
      </c>
      <c r="E13" s="173">
        <f>IF('4 Hourly RR Chart Reading'!E13="","",'4 Hourly RR Chart Reading'!E13)</f>
        <v>0</v>
      </c>
      <c r="F13" s="174">
        <f>IF('4 Hourly RR Chart Reading'!F13="","",'4 Hourly RR Chart Reading'!F13)</f>
        <v>0</v>
      </c>
      <c r="G13" s="175">
        <f>IF('4 Hourly RR Chart Reading'!G13="","",'4 Hourly RR Chart Reading'!G13)</f>
        <v>0</v>
      </c>
      <c r="H13" s="163" t="str">
        <f>IF('4 Hourly RR Chart Reading'!H13="","",'4 Hourly RR Chart Reading'!H13*'4 Hourly RR Chart Reading'!AK13)</f>
        <v/>
      </c>
      <c r="I13" s="128" t="str">
        <f>IF('4 Hourly RR Chart Reading'!I13="","",'4 Hourly RR Chart Reading'!I13*'4 Hourly RR Chart Reading'!AK13)</f>
        <v/>
      </c>
      <c r="J13" s="128" t="str">
        <f>IF('4 Hourly RR Chart Reading'!J13="","",'4 Hourly RR Chart Reading'!J13*'4 Hourly RR Chart Reading'!AK13)</f>
        <v/>
      </c>
      <c r="K13" s="128" t="str">
        <f>IF('4 Hourly RR Chart Reading'!K13="","",'4 Hourly RR Chart Reading'!K13*'4 Hourly RR Chart Reading'!AK13)</f>
        <v/>
      </c>
      <c r="L13" s="128" t="str">
        <f>IF('4 Hourly RR Chart Reading'!L13="","",'4 Hourly RR Chart Reading'!L13*'4 Hourly RR Chart Reading'!AK13)</f>
        <v/>
      </c>
      <c r="M13" s="129" t="str">
        <f>IF('4 Hourly RR Chart Reading'!M13="","",'4 Hourly RR Chart Reading'!M13*'4 Hourly RR Chart Reading'!AK13)</f>
        <v/>
      </c>
      <c r="N13" s="163" t="str">
        <f>IF('4 Hourly RR Chart Reading'!N13="","",'4 Hourly RR Chart Reading'!N13*'4 Hourly RR Chart Reading'!AL13)</f>
        <v/>
      </c>
      <c r="O13" s="128" t="str">
        <f>IF('4 Hourly RR Chart Reading'!O13="","",'4 Hourly RR Chart Reading'!O13*'4 Hourly RR Chart Reading'!AL13)</f>
        <v/>
      </c>
      <c r="P13" s="128" t="str">
        <f>IF('4 Hourly RR Chart Reading'!P13="","",'4 Hourly RR Chart Reading'!P13*'4 Hourly RR Chart Reading'!AL13)</f>
        <v/>
      </c>
      <c r="Q13" s="128" t="str">
        <f>IF('4 Hourly RR Chart Reading'!Q13="","",'4 Hourly RR Chart Reading'!Q13*'4 Hourly RR Chart Reading'!AL13)</f>
        <v/>
      </c>
      <c r="R13" s="128" t="str">
        <f>IF('4 Hourly RR Chart Reading'!R13="","",'4 Hourly RR Chart Reading'!R13*'4 Hourly RR Chart Reading'!AL13)</f>
        <v/>
      </c>
      <c r="S13" s="164" t="str">
        <f>IF('4 Hourly RR Chart Reading'!S13="","",'4 Hourly RR Chart Reading'!S13*'4 Hourly RR Chart Reading'!AL13)</f>
        <v/>
      </c>
      <c r="T13" s="127" t="str">
        <f>IF('4 Hourly RR Chart Reading'!T13="","",'4 Hourly RR Chart Reading'!T13*'4 Hourly RR Chart Reading'!AM13)</f>
        <v/>
      </c>
      <c r="U13" s="128" t="str">
        <f>IF('4 Hourly RR Chart Reading'!U13="","",'4 Hourly RR Chart Reading'!U13*'4 Hourly RR Chart Reading'!AM13)</f>
        <v/>
      </c>
      <c r="V13" s="128" t="str">
        <f>IF('4 Hourly RR Chart Reading'!V13="","",'4 Hourly RR Chart Reading'!V13*'4 Hourly RR Chart Reading'!AM13)</f>
        <v/>
      </c>
      <c r="W13" s="128" t="str">
        <f>IF('4 Hourly RR Chart Reading'!W13="","",'4 Hourly RR Chart Reading'!W13*'4 Hourly RR Chart Reading'!AM13)</f>
        <v/>
      </c>
      <c r="X13" s="128" t="str">
        <f>IF('4 Hourly RR Chart Reading'!X13="","",'4 Hourly RR Chart Reading'!X13*'4 Hourly RR Chart Reading'!AM13)</f>
        <v/>
      </c>
      <c r="Y13" s="129" t="str">
        <f>IF('4 Hourly RR Chart Reading'!Y13="","",'4 Hourly RR Chart Reading'!Y13*'4 Hourly RR Chart Reading'!AM13)</f>
        <v/>
      </c>
      <c r="Z13" s="163" t="str">
        <f>IF('4 Hourly RR Chart Reading'!Z13="","",'4 Hourly RR Chart Reading'!Z13*'4 Hourly RR Chart Reading'!AN13)</f>
        <v/>
      </c>
      <c r="AA13" s="128" t="str">
        <f>IF('4 Hourly RR Chart Reading'!AA13="","",'4 Hourly RR Chart Reading'!AA13*'4 Hourly RR Chart Reading'!AN13)</f>
        <v/>
      </c>
      <c r="AB13" s="128" t="str">
        <f>IF('4 Hourly RR Chart Reading'!AB13="","",'4 Hourly RR Chart Reading'!AB13*'4 Hourly RR Chart Reading'!AN13)</f>
        <v/>
      </c>
      <c r="AC13" s="128" t="str">
        <f>IF('4 Hourly RR Chart Reading'!AC13="","",'4 Hourly RR Chart Reading'!AC13*'4 Hourly RR Chart Reading'!AN13)</f>
        <v/>
      </c>
      <c r="AD13" s="128" t="str">
        <f>IF('4 Hourly RR Chart Reading'!AD13="","",'4 Hourly RR Chart Reading'!AD13*'4 Hourly RR Chart Reading'!AN13)</f>
        <v/>
      </c>
      <c r="AE13" s="129" t="str">
        <f>IF('4 Hourly RR Chart Reading'!AE13="","",'4 Hourly RR Chart Reading'!AE13*'4 Hourly RR Chart Reading'!AN13)</f>
        <v/>
      </c>
      <c r="AF13" s="151"/>
      <c r="AG13" s="155" t="str">
        <f t="shared" ref="AG13:AG42" si="0">IF(AND(H13="",M13=""),"",SUM(H13:M13))</f>
        <v/>
      </c>
      <c r="AH13" s="156" t="str">
        <f t="shared" ref="AH13:AH42" si="1">IF(AND(N13="",S13=""),"",SUM(N13:S13))</f>
        <v/>
      </c>
      <c r="AI13" s="156" t="str">
        <f t="shared" ref="AI13:AI42" si="2">IF(AND(T13="",Y13=""),"",SUM(T13:Y13))</f>
        <v/>
      </c>
      <c r="AJ13" s="157" t="str">
        <f t="shared" ref="AJ13:AJ42" si="3">IF(AND(Z13="",AE13=""),"",SUM(Z13:AE13))</f>
        <v/>
      </c>
    </row>
    <row r="14" spans="1:36" ht="13.9" customHeight="1" x14ac:dyDescent="0.25">
      <c r="A14" s="72">
        <v>3</v>
      </c>
      <c r="B14" s="73" t="str">
        <f>IF('4 Hourly RR Chart Reading'!B14="","",'4 Hourly RR Chart Reading'!B14)</f>
        <v/>
      </c>
      <c r="C14" s="172">
        <f>IF('4 Hourly RR Chart Reading'!C14="","",'4 Hourly RR Chart Reading'!C14)</f>
        <v>0</v>
      </c>
      <c r="D14" s="173">
        <f>IF('4 Hourly RR Chart Reading'!D14="","",'4 Hourly RR Chart Reading'!D14)</f>
        <v>0</v>
      </c>
      <c r="E14" s="173">
        <f>IF('4 Hourly RR Chart Reading'!E14="","",'4 Hourly RR Chart Reading'!E14)</f>
        <v>0</v>
      </c>
      <c r="F14" s="174">
        <f>IF('4 Hourly RR Chart Reading'!F14="","",'4 Hourly RR Chart Reading'!F14)</f>
        <v>0</v>
      </c>
      <c r="G14" s="175">
        <f>IF('4 Hourly RR Chart Reading'!G14="","",'4 Hourly RR Chart Reading'!G14)</f>
        <v>0</v>
      </c>
      <c r="H14" s="163" t="str">
        <f>IF('4 Hourly RR Chart Reading'!H14="","",'4 Hourly RR Chart Reading'!H14*'4 Hourly RR Chart Reading'!AK14)</f>
        <v/>
      </c>
      <c r="I14" s="128" t="str">
        <f>IF('4 Hourly RR Chart Reading'!I14="","",'4 Hourly RR Chart Reading'!I14*'4 Hourly RR Chart Reading'!AK14)</f>
        <v/>
      </c>
      <c r="J14" s="128" t="str">
        <f>IF('4 Hourly RR Chart Reading'!J14="","",'4 Hourly RR Chart Reading'!J14*'4 Hourly RR Chart Reading'!AK14)</f>
        <v/>
      </c>
      <c r="K14" s="128" t="str">
        <f>IF('4 Hourly RR Chart Reading'!K14="","",'4 Hourly RR Chart Reading'!K14*'4 Hourly RR Chart Reading'!AK14)</f>
        <v/>
      </c>
      <c r="L14" s="128" t="str">
        <f>IF('4 Hourly RR Chart Reading'!L14="","",'4 Hourly RR Chart Reading'!L14*'4 Hourly RR Chart Reading'!AK14)</f>
        <v/>
      </c>
      <c r="M14" s="129" t="str">
        <f>IF('4 Hourly RR Chart Reading'!M14="","",'4 Hourly RR Chart Reading'!M14*'4 Hourly RR Chart Reading'!AK14)</f>
        <v/>
      </c>
      <c r="N14" s="163" t="str">
        <f>IF('4 Hourly RR Chart Reading'!N14="","",'4 Hourly RR Chart Reading'!N14*'4 Hourly RR Chart Reading'!AL14)</f>
        <v/>
      </c>
      <c r="O14" s="128" t="str">
        <f>IF('4 Hourly RR Chart Reading'!O14="","",'4 Hourly RR Chart Reading'!O14*'4 Hourly RR Chart Reading'!AL14)</f>
        <v/>
      </c>
      <c r="P14" s="128" t="str">
        <f>IF('4 Hourly RR Chart Reading'!P14="","",'4 Hourly RR Chart Reading'!P14*'4 Hourly RR Chart Reading'!AL14)</f>
        <v/>
      </c>
      <c r="Q14" s="128" t="str">
        <f>IF('4 Hourly RR Chart Reading'!Q14="","",'4 Hourly RR Chart Reading'!Q14*'4 Hourly RR Chart Reading'!AL14)</f>
        <v/>
      </c>
      <c r="R14" s="128" t="str">
        <f>IF('4 Hourly RR Chart Reading'!R14="","",'4 Hourly RR Chart Reading'!R14*'4 Hourly RR Chart Reading'!AL14)</f>
        <v/>
      </c>
      <c r="S14" s="164" t="str">
        <f>IF('4 Hourly RR Chart Reading'!S14="","",'4 Hourly RR Chart Reading'!S14*'4 Hourly RR Chart Reading'!AL14)</f>
        <v/>
      </c>
      <c r="T14" s="127" t="str">
        <f>IF('4 Hourly RR Chart Reading'!T14="","",'4 Hourly RR Chart Reading'!T14*'4 Hourly RR Chart Reading'!AM14)</f>
        <v/>
      </c>
      <c r="U14" s="128" t="str">
        <f>IF('4 Hourly RR Chart Reading'!U14="","",'4 Hourly RR Chart Reading'!U14*'4 Hourly RR Chart Reading'!AM14)</f>
        <v/>
      </c>
      <c r="V14" s="128" t="str">
        <f>IF('4 Hourly RR Chart Reading'!V14="","",'4 Hourly RR Chart Reading'!V14*'4 Hourly RR Chart Reading'!AM14)</f>
        <v/>
      </c>
      <c r="W14" s="128" t="str">
        <f>IF('4 Hourly RR Chart Reading'!W14="","",'4 Hourly RR Chart Reading'!W14*'4 Hourly RR Chart Reading'!AM14)</f>
        <v/>
      </c>
      <c r="X14" s="128" t="str">
        <f>IF('4 Hourly RR Chart Reading'!X14="","",'4 Hourly RR Chart Reading'!X14*'4 Hourly RR Chart Reading'!AM14)</f>
        <v/>
      </c>
      <c r="Y14" s="129" t="str">
        <f>IF('4 Hourly RR Chart Reading'!Y14="","",'4 Hourly RR Chart Reading'!Y14*'4 Hourly RR Chart Reading'!AM14)</f>
        <v/>
      </c>
      <c r="Z14" s="163" t="str">
        <f>IF('4 Hourly RR Chart Reading'!Z14="","",'4 Hourly RR Chart Reading'!Z14*'4 Hourly RR Chart Reading'!AN14)</f>
        <v/>
      </c>
      <c r="AA14" s="128" t="str">
        <f>IF('4 Hourly RR Chart Reading'!AA14="","",'4 Hourly RR Chart Reading'!AA14*'4 Hourly RR Chart Reading'!AN14)</f>
        <v/>
      </c>
      <c r="AB14" s="128" t="str">
        <f>IF('4 Hourly RR Chart Reading'!AB14="","",'4 Hourly RR Chart Reading'!AB14*'4 Hourly RR Chart Reading'!AN14)</f>
        <v/>
      </c>
      <c r="AC14" s="128" t="str">
        <f>IF('4 Hourly RR Chart Reading'!AC14="","",'4 Hourly RR Chart Reading'!AC14*'4 Hourly RR Chart Reading'!AN14)</f>
        <v/>
      </c>
      <c r="AD14" s="128" t="str">
        <f>IF('4 Hourly RR Chart Reading'!AD14="","",'4 Hourly RR Chart Reading'!AD14*'4 Hourly RR Chart Reading'!AN14)</f>
        <v/>
      </c>
      <c r="AE14" s="129" t="str">
        <f>IF('4 Hourly RR Chart Reading'!AE14="","",'4 Hourly RR Chart Reading'!AE14*'4 Hourly RR Chart Reading'!AN14)</f>
        <v/>
      </c>
      <c r="AF14" s="151"/>
      <c r="AG14" s="155" t="str">
        <f t="shared" si="0"/>
        <v/>
      </c>
      <c r="AH14" s="156" t="str">
        <f t="shared" si="1"/>
        <v/>
      </c>
      <c r="AI14" s="156" t="str">
        <f t="shared" si="2"/>
        <v/>
      </c>
      <c r="AJ14" s="157" t="str">
        <f t="shared" si="3"/>
        <v/>
      </c>
    </row>
    <row r="15" spans="1:36" ht="13.9" customHeight="1" x14ac:dyDescent="0.25">
      <c r="A15" s="72">
        <v>4</v>
      </c>
      <c r="B15" s="73" t="str">
        <f>IF('4 Hourly RR Chart Reading'!B15="","",'4 Hourly RR Chart Reading'!B15)</f>
        <v/>
      </c>
      <c r="C15" s="172">
        <f>IF('4 Hourly RR Chart Reading'!C15="","",'4 Hourly RR Chart Reading'!C15)</f>
        <v>0</v>
      </c>
      <c r="D15" s="173">
        <f>IF('4 Hourly RR Chart Reading'!D15="","",'4 Hourly RR Chart Reading'!D15)</f>
        <v>0</v>
      </c>
      <c r="E15" s="173">
        <f>IF('4 Hourly RR Chart Reading'!E15="","",'4 Hourly RR Chart Reading'!E15)</f>
        <v>0</v>
      </c>
      <c r="F15" s="174">
        <f>IF('4 Hourly RR Chart Reading'!F15="","",'4 Hourly RR Chart Reading'!F15)</f>
        <v>0</v>
      </c>
      <c r="G15" s="175">
        <f>IF('4 Hourly RR Chart Reading'!G15="","",'4 Hourly RR Chart Reading'!G15)</f>
        <v>0</v>
      </c>
      <c r="H15" s="163" t="str">
        <f>IF('4 Hourly RR Chart Reading'!H15="","",'4 Hourly RR Chart Reading'!H15*'4 Hourly RR Chart Reading'!AK15)</f>
        <v/>
      </c>
      <c r="I15" s="128" t="str">
        <f>IF('4 Hourly RR Chart Reading'!I15="","",'4 Hourly RR Chart Reading'!I15*'4 Hourly RR Chart Reading'!AK15)</f>
        <v/>
      </c>
      <c r="J15" s="128" t="str">
        <f>IF('4 Hourly RR Chart Reading'!J15="","",'4 Hourly RR Chart Reading'!J15*'4 Hourly RR Chart Reading'!AK15)</f>
        <v/>
      </c>
      <c r="K15" s="128" t="str">
        <f>IF('4 Hourly RR Chart Reading'!K15="","",'4 Hourly RR Chart Reading'!K15*'4 Hourly RR Chart Reading'!AK15)</f>
        <v/>
      </c>
      <c r="L15" s="128" t="str">
        <f>IF('4 Hourly RR Chart Reading'!L15="","",'4 Hourly RR Chart Reading'!L15*'4 Hourly RR Chart Reading'!AK15)</f>
        <v/>
      </c>
      <c r="M15" s="129" t="str">
        <f>IF('4 Hourly RR Chart Reading'!M15="","",'4 Hourly RR Chart Reading'!M15*'4 Hourly RR Chart Reading'!AK15)</f>
        <v/>
      </c>
      <c r="N15" s="163" t="str">
        <f>IF('4 Hourly RR Chart Reading'!N15="","",'4 Hourly RR Chart Reading'!N15*'4 Hourly RR Chart Reading'!AL15)</f>
        <v/>
      </c>
      <c r="O15" s="128" t="str">
        <f>IF('4 Hourly RR Chart Reading'!O15="","",'4 Hourly RR Chart Reading'!O15*'4 Hourly RR Chart Reading'!AL15)</f>
        <v/>
      </c>
      <c r="P15" s="128" t="str">
        <f>IF('4 Hourly RR Chart Reading'!P15="","",'4 Hourly RR Chart Reading'!P15*'4 Hourly RR Chart Reading'!AL15)</f>
        <v/>
      </c>
      <c r="Q15" s="128" t="str">
        <f>IF('4 Hourly RR Chart Reading'!Q15="","",'4 Hourly RR Chart Reading'!Q15*'4 Hourly RR Chart Reading'!AL15)</f>
        <v/>
      </c>
      <c r="R15" s="128" t="str">
        <f>IF('4 Hourly RR Chart Reading'!R15="","",'4 Hourly RR Chart Reading'!R15*'4 Hourly RR Chart Reading'!AL15)</f>
        <v/>
      </c>
      <c r="S15" s="164" t="str">
        <f>IF('4 Hourly RR Chart Reading'!S15="","",'4 Hourly RR Chart Reading'!S15*'4 Hourly RR Chart Reading'!AL15)</f>
        <v/>
      </c>
      <c r="T15" s="127" t="str">
        <f>IF('4 Hourly RR Chart Reading'!T15="","",'4 Hourly RR Chart Reading'!T15*'4 Hourly RR Chart Reading'!AM15)</f>
        <v/>
      </c>
      <c r="U15" s="128" t="str">
        <f>IF('4 Hourly RR Chart Reading'!U15="","",'4 Hourly RR Chart Reading'!U15*'4 Hourly RR Chart Reading'!AM15)</f>
        <v/>
      </c>
      <c r="V15" s="128" t="str">
        <f>IF('4 Hourly RR Chart Reading'!V15="","",'4 Hourly RR Chart Reading'!V15*'4 Hourly RR Chart Reading'!AM15)</f>
        <v/>
      </c>
      <c r="W15" s="128" t="str">
        <f>IF('4 Hourly RR Chart Reading'!W15="","",'4 Hourly RR Chart Reading'!W15*'4 Hourly RR Chart Reading'!AM15)</f>
        <v/>
      </c>
      <c r="X15" s="128" t="str">
        <f>IF('4 Hourly RR Chart Reading'!X15="","",'4 Hourly RR Chart Reading'!X15*'4 Hourly RR Chart Reading'!AM15)</f>
        <v/>
      </c>
      <c r="Y15" s="129" t="str">
        <f>IF('4 Hourly RR Chart Reading'!Y15="","",'4 Hourly RR Chart Reading'!Y15*'4 Hourly RR Chart Reading'!AM15)</f>
        <v/>
      </c>
      <c r="Z15" s="163" t="str">
        <f>IF('4 Hourly RR Chart Reading'!Z15="","",'4 Hourly RR Chart Reading'!Z15*'4 Hourly RR Chart Reading'!AN15)</f>
        <v/>
      </c>
      <c r="AA15" s="128" t="str">
        <f>IF('4 Hourly RR Chart Reading'!AA15="","",'4 Hourly RR Chart Reading'!AA15*'4 Hourly RR Chart Reading'!AN15)</f>
        <v/>
      </c>
      <c r="AB15" s="128" t="str">
        <f>IF('4 Hourly RR Chart Reading'!AB15="","",'4 Hourly RR Chart Reading'!AB15*'4 Hourly RR Chart Reading'!AN15)</f>
        <v/>
      </c>
      <c r="AC15" s="128" t="str">
        <f>IF('4 Hourly RR Chart Reading'!AC15="","",'4 Hourly RR Chart Reading'!AC15*'4 Hourly RR Chart Reading'!AN15)</f>
        <v/>
      </c>
      <c r="AD15" s="128" t="str">
        <f>IF('4 Hourly RR Chart Reading'!AD15="","",'4 Hourly RR Chart Reading'!AD15*'4 Hourly RR Chart Reading'!AN15)</f>
        <v/>
      </c>
      <c r="AE15" s="129" t="str">
        <f>IF('4 Hourly RR Chart Reading'!AE15="","",'4 Hourly RR Chart Reading'!AE15*'4 Hourly RR Chart Reading'!AN15)</f>
        <v/>
      </c>
      <c r="AF15" s="151"/>
      <c r="AG15" s="155" t="str">
        <f t="shared" si="0"/>
        <v/>
      </c>
      <c r="AH15" s="156" t="str">
        <f t="shared" si="1"/>
        <v/>
      </c>
      <c r="AI15" s="156" t="str">
        <f t="shared" si="2"/>
        <v/>
      </c>
      <c r="AJ15" s="157" t="str">
        <f t="shared" si="3"/>
        <v/>
      </c>
    </row>
    <row r="16" spans="1:36" ht="13.9" customHeight="1" x14ac:dyDescent="0.25">
      <c r="A16" s="72">
        <v>5</v>
      </c>
      <c r="B16" s="73" t="str">
        <f>IF('4 Hourly RR Chart Reading'!B16="","",'4 Hourly RR Chart Reading'!B16)</f>
        <v/>
      </c>
      <c r="C16" s="172">
        <f>IF('4 Hourly RR Chart Reading'!C16="","",'4 Hourly RR Chart Reading'!C16)</f>
        <v>0</v>
      </c>
      <c r="D16" s="173">
        <f>IF('4 Hourly RR Chart Reading'!D16="","",'4 Hourly RR Chart Reading'!D16)</f>
        <v>0</v>
      </c>
      <c r="E16" s="173">
        <f>IF('4 Hourly RR Chart Reading'!E16="","",'4 Hourly RR Chart Reading'!E16)</f>
        <v>0</v>
      </c>
      <c r="F16" s="174">
        <f>IF('4 Hourly RR Chart Reading'!F16="","",'4 Hourly RR Chart Reading'!F16)</f>
        <v>0</v>
      </c>
      <c r="G16" s="175">
        <f>IF('4 Hourly RR Chart Reading'!G16="","",'4 Hourly RR Chart Reading'!G16)</f>
        <v>0</v>
      </c>
      <c r="H16" s="163" t="str">
        <f>IF('4 Hourly RR Chart Reading'!H16="","",'4 Hourly RR Chart Reading'!H16*'4 Hourly RR Chart Reading'!AK16)</f>
        <v/>
      </c>
      <c r="I16" s="128" t="str">
        <f>IF('4 Hourly RR Chart Reading'!I16="","",'4 Hourly RR Chart Reading'!I16*'4 Hourly RR Chart Reading'!AK16)</f>
        <v/>
      </c>
      <c r="J16" s="128" t="str">
        <f>IF('4 Hourly RR Chart Reading'!J16="","",'4 Hourly RR Chart Reading'!J16*'4 Hourly RR Chart Reading'!AK16)</f>
        <v/>
      </c>
      <c r="K16" s="128" t="str">
        <f>IF('4 Hourly RR Chart Reading'!K16="","",'4 Hourly RR Chart Reading'!K16*'4 Hourly RR Chart Reading'!AK16)</f>
        <v/>
      </c>
      <c r="L16" s="128" t="str">
        <f>IF('4 Hourly RR Chart Reading'!L16="","",'4 Hourly RR Chart Reading'!L16*'4 Hourly RR Chart Reading'!AK16)</f>
        <v/>
      </c>
      <c r="M16" s="129" t="str">
        <f>IF('4 Hourly RR Chart Reading'!M16="","",'4 Hourly RR Chart Reading'!M16*'4 Hourly RR Chart Reading'!AK16)</f>
        <v/>
      </c>
      <c r="N16" s="163" t="str">
        <f>IF('4 Hourly RR Chart Reading'!N16="","",'4 Hourly RR Chart Reading'!N16*'4 Hourly RR Chart Reading'!AL16)</f>
        <v/>
      </c>
      <c r="O16" s="128" t="str">
        <f>IF('4 Hourly RR Chart Reading'!O16="","",'4 Hourly RR Chart Reading'!O16*'4 Hourly RR Chart Reading'!AL16)</f>
        <v/>
      </c>
      <c r="P16" s="128" t="str">
        <f>IF('4 Hourly RR Chart Reading'!P16="","",'4 Hourly RR Chart Reading'!P16*'4 Hourly RR Chart Reading'!AL16)</f>
        <v/>
      </c>
      <c r="Q16" s="128" t="str">
        <f>IF('4 Hourly RR Chart Reading'!Q16="","",'4 Hourly RR Chart Reading'!Q16*'4 Hourly RR Chart Reading'!AL16)</f>
        <v/>
      </c>
      <c r="R16" s="128" t="str">
        <f>IF('4 Hourly RR Chart Reading'!R16="","",'4 Hourly RR Chart Reading'!R16*'4 Hourly RR Chart Reading'!AL16)</f>
        <v/>
      </c>
      <c r="S16" s="164" t="str">
        <f>IF('4 Hourly RR Chart Reading'!S16="","",'4 Hourly RR Chart Reading'!S16*'4 Hourly RR Chart Reading'!AL16)</f>
        <v/>
      </c>
      <c r="T16" s="127" t="str">
        <f>IF('4 Hourly RR Chart Reading'!T16="","",'4 Hourly RR Chart Reading'!T16*'4 Hourly RR Chart Reading'!AM16)</f>
        <v/>
      </c>
      <c r="U16" s="128" t="str">
        <f>IF('4 Hourly RR Chart Reading'!U16="","",'4 Hourly RR Chart Reading'!U16*'4 Hourly RR Chart Reading'!AM16)</f>
        <v/>
      </c>
      <c r="V16" s="128" t="str">
        <f>IF('4 Hourly RR Chart Reading'!V16="","",'4 Hourly RR Chart Reading'!V16*'4 Hourly RR Chart Reading'!AM16)</f>
        <v/>
      </c>
      <c r="W16" s="128" t="str">
        <f>IF('4 Hourly RR Chart Reading'!W16="","",'4 Hourly RR Chart Reading'!W16*'4 Hourly RR Chart Reading'!AM16)</f>
        <v/>
      </c>
      <c r="X16" s="128" t="str">
        <f>IF('4 Hourly RR Chart Reading'!X16="","",'4 Hourly RR Chart Reading'!X16*'4 Hourly RR Chart Reading'!AM16)</f>
        <v/>
      </c>
      <c r="Y16" s="129" t="str">
        <f>IF('4 Hourly RR Chart Reading'!Y16="","",'4 Hourly RR Chart Reading'!Y16*'4 Hourly RR Chart Reading'!AM16)</f>
        <v/>
      </c>
      <c r="Z16" s="163" t="str">
        <f>IF('4 Hourly RR Chart Reading'!Z16="","",'4 Hourly RR Chart Reading'!Z16*'4 Hourly RR Chart Reading'!AN16)</f>
        <v/>
      </c>
      <c r="AA16" s="128" t="str">
        <f>IF('4 Hourly RR Chart Reading'!AA16="","",'4 Hourly RR Chart Reading'!AA16*'4 Hourly RR Chart Reading'!AN16)</f>
        <v/>
      </c>
      <c r="AB16" s="128" t="str">
        <f>IF('4 Hourly RR Chart Reading'!AB16="","",'4 Hourly RR Chart Reading'!AB16*'4 Hourly RR Chart Reading'!AN16)</f>
        <v/>
      </c>
      <c r="AC16" s="128" t="str">
        <f>IF('4 Hourly RR Chart Reading'!AC16="","",'4 Hourly RR Chart Reading'!AC16*'4 Hourly RR Chart Reading'!AN16)</f>
        <v/>
      </c>
      <c r="AD16" s="128" t="str">
        <f>IF('4 Hourly RR Chart Reading'!AD16="","",'4 Hourly RR Chart Reading'!AD16*'4 Hourly RR Chart Reading'!AN16)</f>
        <v/>
      </c>
      <c r="AE16" s="129" t="str">
        <f>IF('4 Hourly RR Chart Reading'!AE16="","",'4 Hourly RR Chart Reading'!AE16*'4 Hourly RR Chart Reading'!AN16)</f>
        <v/>
      </c>
      <c r="AF16" s="151"/>
      <c r="AG16" s="155" t="str">
        <f t="shared" si="0"/>
        <v/>
      </c>
      <c r="AH16" s="156" t="str">
        <f t="shared" si="1"/>
        <v/>
      </c>
      <c r="AI16" s="156" t="str">
        <f t="shared" si="2"/>
        <v/>
      </c>
      <c r="AJ16" s="157" t="str">
        <f t="shared" si="3"/>
        <v/>
      </c>
    </row>
    <row r="17" spans="1:36" ht="13.9" customHeight="1" x14ac:dyDescent="0.25">
      <c r="A17" s="72">
        <v>6</v>
      </c>
      <c r="B17" s="73" t="str">
        <f>IF('4 Hourly RR Chart Reading'!B17="","",'4 Hourly RR Chart Reading'!B17)</f>
        <v/>
      </c>
      <c r="C17" s="172">
        <f>IF('4 Hourly RR Chart Reading'!C17="","",'4 Hourly RR Chart Reading'!C17)</f>
        <v>0</v>
      </c>
      <c r="D17" s="173">
        <f>IF('4 Hourly RR Chart Reading'!D17="","",'4 Hourly RR Chart Reading'!D17)</f>
        <v>0</v>
      </c>
      <c r="E17" s="173">
        <f>IF('4 Hourly RR Chart Reading'!E17="","",'4 Hourly RR Chart Reading'!E17)</f>
        <v>0</v>
      </c>
      <c r="F17" s="174">
        <f>IF('4 Hourly RR Chart Reading'!F17="","",'4 Hourly RR Chart Reading'!F17)</f>
        <v>0</v>
      </c>
      <c r="G17" s="175">
        <f>IF('4 Hourly RR Chart Reading'!G17="","",'4 Hourly RR Chart Reading'!G17)</f>
        <v>0</v>
      </c>
      <c r="H17" s="163" t="str">
        <f>IF('4 Hourly RR Chart Reading'!H17="","",'4 Hourly RR Chart Reading'!H17*'4 Hourly RR Chart Reading'!AK17)</f>
        <v/>
      </c>
      <c r="I17" s="128" t="str">
        <f>IF('4 Hourly RR Chart Reading'!I17="","",'4 Hourly RR Chart Reading'!I17*'4 Hourly RR Chart Reading'!AK17)</f>
        <v/>
      </c>
      <c r="J17" s="128" t="str">
        <f>IF('4 Hourly RR Chart Reading'!J17="","",'4 Hourly RR Chart Reading'!J17*'4 Hourly RR Chart Reading'!AK17)</f>
        <v/>
      </c>
      <c r="K17" s="128" t="str">
        <f>IF('4 Hourly RR Chart Reading'!K17="","",'4 Hourly RR Chart Reading'!K17*'4 Hourly RR Chart Reading'!AK17)</f>
        <v/>
      </c>
      <c r="L17" s="128" t="str">
        <f>IF('4 Hourly RR Chart Reading'!L17="","",'4 Hourly RR Chart Reading'!L17*'4 Hourly RR Chart Reading'!AK17)</f>
        <v/>
      </c>
      <c r="M17" s="129" t="str">
        <f>IF('4 Hourly RR Chart Reading'!M17="","",'4 Hourly RR Chart Reading'!M17*'4 Hourly RR Chart Reading'!AK17)</f>
        <v/>
      </c>
      <c r="N17" s="163" t="str">
        <f>IF('4 Hourly RR Chart Reading'!N17="","",'4 Hourly RR Chart Reading'!N17*'4 Hourly RR Chart Reading'!AL17)</f>
        <v/>
      </c>
      <c r="O17" s="128" t="str">
        <f>IF('4 Hourly RR Chart Reading'!O17="","",'4 Hourly RR Chart Reading'!O17*'4 Hourly RR Chart Reading'!AL17)</f>
        <v/>
      </c>
      <c r="P17" s="128" t="str">
        <f>IF('4 Hourly RR Chart Reading'!P17="","",'4 Hourly RR Chart Reading'!P17*'4 Hourly RR Chart Reading'!AL17)</f>
        <v/>
      </c>
      <c r="Q17" s="128" t="str">
        <f>IF('4 Hourly RR Chart Reading'!Q17="","",'4 Hourly RR Chart Reading'!Q17*'4 Hourly RR Chart Reading'!AL17)</f>
        <v/>
      </c>
      <c r="R17" s="128" t="str">
        <f>IF('4 Hourly RR Chart Reading'!R17="","",'4 Hourly RR Chart Reading'!R17*'4 Hourly RR Chart Reading'!AL17)</f>
        <v/>
      </c>
      <c r="S17" s="164" t="str">
        <f>IF('4 Hourly RR Chart Reading'!S17="","",'4 Hourly RR Chart Reading'!S17*'4 Hourly RR Chart Reading'!AL17)</f>
        <v/>
      </c>
      <c r="T17" s="127" t="str">
        <f>IF('4 Hourly RR Chart Reading'!T17="","",'4 Hourly RR Chart Reading'!T17*'4 Hourly RR Chart Reading'!AM17)</f>
        <v/>
      </c>
      <c r="U17" s="128" t="str">
        <f>IF('4 Hourly RR Chart Reading'!U17="","",'4 Hourly RR Chart Reading'!U17*'4 Hourly RR Chart Reading'!AM17)</f>
        <v/>
      </c>
      <c r="V17" s="128" t="str">
        <f>IF('4 Hourly RR Chart Reading'!V17="","",'4 Hourly RR Chart Reading'!V17*'4 Hourly RR Chart Reading'!AM17)</f>
        <v/>
      </c>
      <c r="W17" s="128" t="str">
        <f>IF('4 Hourly RR Chart Reading'!W17="","",'4 Hourly RR Chart Reading'!W17*'4 Hourly RR Chart Reading'!AM17)</f>
        <v/>
      </c>
      <c r="X17" s="128" t="str">
        <f>IF('4 Hourly RR Chart Reading'!X17="","",'4 Hourly RR Chart Reading'!X17*'4 Hourly RR Chart Reading'!AM17)</f>
        <v/>
      </c>
      <c r="Y17" s="129" t="str">
        <f>IF('4 Hourly RR Chart Reading'!Y17="","",'4 Hourly RR Chart Reading'!Y17*'4 Hourly RR Chart Reading'!AM17)</f>
        <v/>
      </c>
      <c r="Z17" s="163" t="str">
        <f>IF('4 Hourly RR Chart Reading'!Z17="","",'4 Hourly RR Chart Reading'!Z17*'4 Hourly RR Chart Reading'!AN17)</f>
        <v/>
      </c>
      <c r="AA17" s="128" t="str">
        <f>IF('4 Hourly RR Chart Reading'!AA17="","",'4 Hourly RR Chart Reading'!AA17*'4 Hourly RR Chart Reading'!AN17)</f>
        <v/>
      </c>
      <c r="AB17" s="128" t="str">
        <f>IF('4 Hourly RR Chart Reading'!AB17="","",'4 Hourly RR Chart Reading'!AB17*'4 Hourly RR Chart Reading'!AN17)</f>
        <v/>
      </c>
      <c r="AC17" s="128" t="str">
        <f>IF('4 Hourly RR Chart Reading'!AC17="","",'4 Hourly RR Chart Reading'!AC17*'4 Hourly RR Chart Reading'!AN17)</f>
        <v/>
      </c>
      <c r="AD17" s="128" t="str">
        <f>IF('4 Hourly RR Chart Reading'!AD17="","",'4 Hourly RR Chart Reading'!AD17*'4 Hourly RR Chart Reading'!AN17)</f>
        <v/>
      </c>
      <c r="AE17" s="129" t="str">
        <f>IF('4 Hourly RR Chart Reading'!AE17="","",'4 Hourly RR Chart Reading'!AE17*'4 Hourly RR Chart Reading'!AN17)</f>
        <v/>
      </c>
      <c r="AF17" s="151"/>
      <c r="AG17" s="155" t="str">
        <f t="shared" si="0"/>
        <v/>
      </c>
      <c r="AH17" s="156" t="str">
        <f t="shared" si="1"/>
        <v/>
      </c>
      <c r="AI17" s="156" t="str">
        <f t="shared" si="2"/>
        <v/>
      </c>
      <c r="AJ17" s="157" t="str">
        <f t="shared" si="3"/>
        <v/>
      </c>
    </row>
    <row r="18" spans="1:36" ht="13.9" customHeight="1" x14ac:dyDescent="0.25">
      <c r="A18" s="72">
        <v>7</v>
      </c>
      <c r="B18" s="73" t="str">
        <f>IF('4 Hourly RR Chart Reading'!B18="","",'4 Hourly RR Chart Reading'!B18)</f>
        <v/>
      </c>
      <c r="C18" s="172">
        <f>IF('4 Hourly RR Chart Reading'!C18="","",'4 Hourly RR Chart Reading'!C18)</f>
        <v>0</v>
      </c>
      <c r="D18" s="173">
        <f>IF('4 Hourly RR Chart Reading'!D18="","",'4 Hourly RR Chart Reading'!D18)</f>
        <v>0</v>
      </c>
      <c r="E18" s="173">
        <f>IF('4 Hourly RR Chart Reading'!E18="","",'4 Hourly RR Chart Reading'!E18)</f>
        <v>0</v>
      </c>
      <c r="F18" s="174">
        <f>IF('4 Hourly RR Chart Reading'!F18="","",'4 Hourly RR Chart Reading'!F18)</f>
        <v>0</v>
      </c>
      <c r="G18" s="175">
        <f>IF('4 Hourly RR Chart Reading'!G18="","",'4 Hourly RR Chart Reading'!G18)</f>
        <v>0</v>
      </c>
      <c r="H18" s="163" t="str">
        <f>IF('4 Hourly RR Chart Reading'!H18="","",'4 Hourly RR Chart Reading'!H18*'4 Hourly RR Chart Reading'!AK18)</f>
        <v/>
      </c>
      <c r="I18" s="128" t="str">
        <f>IF('4 Hourly RR Chart Reading'!I18="","",'4 Hourly RR Chart Reading'!I18*'4 Hourly RR Chart Reading'!AK18)</f>
        <v/>
      </c>
      <c r="J18" s="128" t="str">
        <f>IF('4 Hourly RR Chart Reading'!J18="","",'4 Hourly RR Chart Reading'!J18*'4 Hourly RR Chart Reading'!AK18)</f>
        <v/>
      </c>
      <c r="K18" s="128" t="str">
        <f>IF('4 Hourly RR Chart Reading'!K18="","",'4 Hourly RR Chart Reading'!K18*'4 Hourly RR Chart Reading'!AK18)</f>
        <v/>
      </c>
      <c r="L18" s="128" t="str">
        <f>IF('4 Hourly RR Chart Reading'!L18="","",'4 Hourly RR Chart Reading'!L18*'4 Hourly RR Chart Reading'!AK18)</f>
        <v/>
      </c>
      <c r="M18" s="129" t="str">
        <f>IF('4 Hourly RR Chart Reading'!M18="","",'4 Hourly RR Chart Reading'!M18*'4 Hourly RR Chart Reading'!AK18)</f>
        <v/>
      </c>
      <c r="N18" s="163" t="str">
        <f>IF('4 Hourly RR Chart Reading'!N18="","",'4 Hourly RR Chart Reading'!N18*'4 Hourly RR Chart Reading'!AL18)</f>
        <v/>
      </c>
      <c r="O18" s="128" t="str">
        <f>IF('4 Hourly RR Chart Reading'!O18="","",'4 Hourly RR Chart Reading'!O18*'4 Hourly RR Chart Reading'!AL18)</f>
        <v/>
      </c>
      <c r="P18" s="128" t="str">
        <f>IF('4 Hourly RR Chart Reading'!P18="","",'4 Hourly RR Chart Reading'!P18*'4 Hourly RR Chart Reading'!AL18)</f>
        <v/>
      </c>
      <c r="Q18" s="128" t="str">
        <f>IF('4 Hourly RR Chart Reading'!Q18="","",'4 Hourly RR Chart Reading'!Q18*'4 Hourly RR Chart Reading'!AL18)</f>
        <v/>
      </c>
      <c r="R18" s="128" t="str">
        <f>IF('4 Hourly RR Chart Reading'!R18="","",'4 Hourly RR Chart Reading'!R18*'4 Hourly RR Chart Reading'!AL18)</f>
        <v/>
      </c>
      <c r="S18" s="164" t="str">
        <f>IF('4 Hourly RR Chart Reading'!S18="","",'4 Hourly RR Chart Reading'!S18*'4 Hourly RR Chart Reading'!AL18)</f>
        <v/>
      </c>
      <c r="T18" s="127" t="str">
        <f>IF('4 Hourly RR Chart Reading'!T18="","",'4 Hourly RR Chart Reading'!T18*'4 Hourly RR Chart Reading'!AM18)</f>
        <v/>
      </c>
      <c r="U18" s="128" t="str">
        <f>IF('4 Hourly RR Chart Reading'!U18="","",'4 Hourly RR Chart Reading'!U18*'4 Hourly RR Chart Reading'!AM18)</f>
        <v/>
      </c>
      <c r="V18" s="128" t="str">
        <f>IF('4 Hourly RR Chart Reading'!V18="","",'4 Hourly RR Chart Reading'!V18*'4 Hourly RR Chart Reading'!AM18)</f>
        <v/>
      </c>
      <c r="W18" s="128" t="str">
        <f>IF('4 Hourly RR Chart Reading'!W18="","",'4 Hourly RR Chart Reading'!W18*'4 Hourly RR Chart Reading'!AM18)</f>
        <v/>
      </c>
      <c r="X18" s="128" t="str">
        <f>IF('4 Hourly RR Chart Reading'!X18="","",'4 Hourly RR Chart Reading'!X18*'4 Hourly RR Chart Reading'!AM18)</f>
        <v/>
      </c>
      <c r="Y18" s="129" t="str">
        <f>IF('4 Hourly RR Chart Reading'!Y18="","",'4 Hourly RR Chart Reading'!Y18*'4 Hourly RR Chart Reading'!AM18)</f>
        <v/>
      </c>
      <c r="Z18" s="163" t="str">
        <f>IF('4 Hourly RR Chart Reading'!Z18="","",'4 Hourly RR Chart Reading'!Z18*'4 Hourly RR Chart Reading'!AN18)</f>
        <v/>
      </c>
      <c r="AA18" s="128" t="str">
        <f>IF('4 Hourly RR Chart Reading'!AA18="","",'4 Hourly RR Chart Reading'!AA18*'4 Hourly RR Chart Reading'!AN18)</f>
        <v/>
      </c>
      <c r="AB18" s="128" t="str">
        <f>IF('4 Hourly RR Chart Reading'!AB18="","",'4 Hourly RR Chart Reading'!AB18*'4 Hourly RR Chart Reading'!AN18)</f>
        <v/>
      </c>
      <c r="AC18" s="128" t="str">
        <f>IF('4 Hourly RR Chart Reading'!AC18="","",'4 Hourly RR Chart Reading'!AC18*'4 Hourly RR Chart Reading'!AN18)</f>
        <v/>
      </c>
      <c r="AD18" s="128" t="str">
        <f>IF('4 Hourly RR Chart Reading'!AD18="","",'4 Hourly RR Chart Reading'!AD18*'4 Hourly RR Chart Reading'!AN18)</f>
        <v/>
      </c>
      <c r="AE18" s="129" t="str">
        <f>IF('4 Hourly RR Chart Reading'!AE18="","",'4 Hourly RR Chart Reading'!AE18*'4 Hourly RR Chart Reading'!AN18)</f>
        <v/>
      </c>
      <c r="AF18" s="151"/>
      <c r="AG18" s="155" t="str">
        <f t="shared" si="0"/>
        <v/>
      </c>
      <c r="AH18" s="156" t="str">
        <f t="shared" si="1"/>
        <v/>
      </c>
      <c r="AI18" s="156" t="str">
        <f t="shared" si="2"/>
        <v/>
      </c>
      <c r="AJ18" s="157" t="str">
        <f t="shared" si="3"/>
        <v/>
      </c>
    </row>
    <row r="19" spans="1:36" ht="13.9" customHeight="1" x14ac:dyDescent="0.25">
      <c r="A19" s="72">
        <v>8</v>
      </c>
      <c r="B19" s="73" t="str">
        <f>IF('4 Hourly RR Chart Reading'!B19="","",'4 Hourly RR Chart Reading'!B19)</f>
        <v/>
      </c>
      <c r="C19" s="172">
        <f>IF('4 Hourly RR Chart Reading'!C19="","",'4 Hourly RR Chart Reading'!C19)</f>
        <v>0</v>
      </c>
      <c r="D19" s="173">
        <f>IF('4 Hourly RR Chart Reading'!D19="","",'4 Hourly RR Chart Reading'!D19)</f>
        <v>0</v>
      </c>
      <c r="E19" s="173">
        <f>IF('4 Hourly RR Chart Reading'!E19="","",'4 Hourly RR Chart Reading'!E19)</f>
        <v>0</v>
      </c>
      <c r="F19" s="174">
        <f>IF('4 Hourly RR Chart Reading'!F19="","",'4 Hourly RR Chart Reading'!F19)</f>
        <v>0</v>
      </c>
      <c r="G19" s="175">
        <f>IF('4 Hourly RR Chart Reading'!G19="","",'4 Hourly RR Chart Reading'!G19)</f>
        <v>0</v>
      </c>
      <c r="H19" s="163" t="str">
        <f>IF('4 Hourly RR Chart Reading'!H19="","",'4 Hourly RR Chart Reading'!H19*'4 Hourly RR Chart Reading'!AK19)</f>
        <v/>
      </c>
      <c r="I19" s="128" t="str">
        <f>IF('4 Hourly RR Chart Reading'!I19="","",'4 Hourly RR Chart Reading'!I19*'4 Hourly RR Chart Reading'!AK19)</f>
        <v/>
      </c>
      <c r="J19" s="128" t="str">
        <f>IF('4 Hourly RR Chart Reading'!J19="","",'4 Hourly RR Chart Reading'!J19*'4 Hourly RR Chart Reading'!AK19)</f>
        <v/>
      </c>
      <c r="K19" s="128" t="str">
        <f>IF('4 Hourly RR Chart Reading'!K19="","",'4 Hourly RR Chart Reading'!K19*'4 Hourly RR Chart Reading'!AK19)</f>
        <v/>
      </c>
      <c r="L19" s="128" t="str">
        <f>IF('4 Hourly RR Chart Reading'!L19="","",'4 Hourly RR Chart Reading'!L19*'4 Hourly RR Chart Reading'!AK19)</f>
        <v/>
      </c>
      <c r="M19" s="129" t="str">
        <f>IF('4 Hourly RR Chart Reading'!M19="","",'4 Hourly RR Chart Reading'!M19*'4 Hourly RR Chart Reading'!AK19)</f>
        <v/>
      </c>
      <c r="N19" s="163" t="str">
        <f>IF('4 Hourly RR Chart Reading'!N19="","",'4 Hourly RR Chart Reading'!N19*'4 Hourly RR Chart Reading'!AL19)</f>
        <v/>
      </c>
      <c r="O19" s="128" t="str">
        <f>IF('4 Hourly RR Chart Reading'!O19="","",'4 Hourly RR Chart Reading'!O19*'4 Hourly RR Chart Reading'!AL19)</f>
        <v/>
      </c>
      <c r="P19" s="128" t="str">
        <f>IF('4 Hourly RR Chart Reading'!P19="","",'4 Hourly RR Chart Reading'!P19*'4 Hourly RR Chart Reading'!AL19)</f>
        <v/>
      </c>
      <c r="Q19" s="128" t="str">
        <f>IF('4 Hourly RR Chart Reading'!Q19="","",'4 Hourly RR Chart Reading'!Q19*'4 Hourly RR Chart Reading'!AL19)</f>
        <v/>
      </c>
      <c r="R19" s="128" t="str">
        <f>IF('4 Hourly RR Chart Reading'!R19="","",'4 Hourly RR Chart Reading'!R19*'4 Hourly RR Chart Reading'!AL19)</f>
        <v/>
      </c>
      <c r="S19" s="164" t="str">
        <f>IF('4 Hourly RR Chart Reading'!S19="","",'4 Hourly RR Chart Reading'!S19*'4 Hourly RR Chart Reading'!AL19)</f>
        <v/>
      </c>
      <c r="T19" s="127" t="str">
        <f>IF('4 Hourly RR Chart Reading'!T19="","",'4 Hourly RR Chart Reading'!T19*'4 Hourly RR Chart Reading'!AM19)</f>
        <v/>
      </c>
      <c r="U19" s="128" t="str">
        <f>IF('4 Hourly RR Chart Reading'!U19="","",'4 Hourly RR Chart Reading'!U19*'4 Hourly RR Chart Reading'!AM19)</f>
        <v/>
      </c>
      <c r="V19" s="128" t="str">
        <f>IF('4 Hourly RR Chart Reading'!V19="","",'4 Hourly RR Chart Reading'!V19*'4 Hourly RR Chart Reading'!AM19)</f>
        <v/>
      </c>
      <c r="W19" s="128" t="str">
        <f>IF('4 Hourly RR Chart Reading'!W19="","",'4 Hourly RR Chart Reading'!W19*'4 Hourly RR Chart Reading'!AM19)</f>
        <v/>
      </c>
      <c r="X19" s="128" t="str">
        <f>IF('4 Hourly RR Chart Reading'!X19="","",'4 Hourly RR Chart Reading'!X19*'4 Hourly RR Chart Reading'!AM19)</f>
        <v/>
      </c>
      <c r="Y19" s="129" t="str">
        <f>IF('4 Hourly RR Chart Reading'!Y19="","",'4 Hourly RR Chart Reading'!Y19*'4 Hourly RR Chart Reading'!AM19)</f>
        <v/>
      </c>
      <c r="Z19" s="163" t="str">
        <f>IF('4 Hourly RR Chart Reading'!Z19="","",'4 Hourly RR Chart Reading'!Z19*'4 Hourly RR Chart Reading'!AN19)</f>
        <v/>
      </c>
      <c r="AA19" s="128" t="str">
        <f>IF('4 Hourly RR Chart Reading'!AA19="","",'4 Hourly RR Chart Reading'!AA19*'4 Hourly RR Chart Reading'!AN19)</f>
        <v/>
      </c>
      <c r="AB19" s="128" t="str">
        <f>IF('4 Hourly RR Chart Reading'!AB19="","",'4 Hourly RR Chart Reading'!AB19*'4 Hourly RR Chart Reading'!AN19)</f>
        <v/>
      </c>
      <c r="AC19" s="128" t="str">
        <f>IF('4 Hourly RR Chart Reading'!AC19="","",'4 Hourly RR Chart Reading'!AC19*'4 Hourly RR Chart Reading'!AN19)</f>
        <v/>
      </c>
      <c r="AD19" s="128" t="str">
        <f>IF('4 Hourly RR Chart Reading'!AD19="","",'4 Hourly RR Chart Reading'!AD19*'4 Hourly RR Chart Reading'!AN19)</f>
        <v/>
      </c>
      <c r="AE19" s="129" t="str">
        <f>IF('4 Hourly RR Chart Reading'!AE19="","",'4 Hourly RR Chart Reading'!AE19*'4 Hourly RR Chart Reading'!AN19)</f>
        <v/>
      </c>
      <c r="AF19" s="151"/>
      <c r="AG19" s="155" t="str">
        <f t="shared" si="0"/>
        <v/>
      </c>
      <c r="AH19" s="156" t="str">
        <f t="shared" si="1"/>
        <v/>
      </c>
      <c r="AI19" s="156" t="str">
        <f t="shared" si="2"/>
        <v/>
      </c>
      <c r="AJ19" s="157" t="str">
        <f t="shared" si="3"/>
        <v/>
      </c>
    </row>
    <row r="20" spans="1:36" ht="13.9" customHeight="1" x14ac:dyDescent="0.25">
      <c r="A20" s="72">
        <v>9</v>
      </c>
      <c r="B20" s="73" t="str">
        <f>IF('4 Hourly RR Chart Reading'!B20="","",'4 Hourly RR Chart Reading'!B20)</f>
        <v/>
      </c>
      <c r="C20" s="172">
        <f>IF('4 Hourly RR Chart Reading'!C20="","",'4 Hourly RR Chart Reading'!C20)</f>
        <v>0</v>
      </c>
      <c r="D20" s="173">
        <f>IF('4 Hourly RR Chart Reading'!D20="","",'4 Hourly RR Chart Reading'!D20)</f>
        <v>0</v>
      </c>
      <c r="E20" s="173">
        <f>IF('4 Hourly RR Chart Reading'!E20="","",'4 Hourly RR Chart Reading'!E20)</f>
        <v>0</v>
      </c>
      <c r="F20" s="174">
        <f>IF('4 Hourly RR Chart Reading'!F20="","",'4 Hourly RR Chart Reading'!F20)</f>
        <v>0</v>
      </c>
      <c r="G20" s="175">
        <f>IF('4 Hourly RR Chart Reading'!G20="","",'4 Hourly RR Chart Reading'!G20)</f>
        <v>0</v>
      </c>
      <c r="H20" s="163" t="str">
        <f>IF('4 Hourly RR Chart Reading'!H20="","",'4 Hourly RR Chart Reading'!H20*'4 Hourly RR Chart Reading'!AK20)</f>
        <v/>
      </c>
      <c r="I20" s="128" t="str">
        <f>IF('4 Hourly RR Chart Reading'!I20="","",'4 Hourly RR Chart Reading'!I20*'4 Hourly RR Chart Reading'!AK20)</f>
        <v/>
      </c>
      <c r="J20" s="128" t="str">
        <f>IF('4 Hourly RR Chart Reading'!J20="","",'4 Hourly RR Chart Reading'!J20*'4 Hourly RR Chart Reading'!AK20)</f>
        <v/>
      </c>
      <c r="K20" s="128" t="str">
        <f>IF('4 Hourly RR Chart Reading'!K20="","",'4 Hourly RR Chart Reading'!K20*'4 Hourly RR Chart Reading'!AK20)</f>
        <v/>
      </c>
      <c r="L20" s="128" t="str">
        <f>IF('4 Hourly RR Chart Reading'!L20="","",'4 Hourly RR Chart Reading'!L20*'4 Hourly RR Chart Reading'!AK20)</f>
        <v/>
      </c>
      <c r="M20" s="129" t="str">
        <f>IF('4 Hourly RR Chart Reading'!M20="","",'4 Hourly RR Chart Reading'!M20*'4 Hourly RR Chart Reading'!AK20)</f>
        <v/>
      </c>
      <c r="N20" s="163" t="str">
        <f>IF('4 Hourly RR Chart Reading'!N20="","",'4 Hourly RR Chart Reading'!N20*'4 Hourly RR Chart Reading'!AL20)</f>
        <v/>
      </c>
      <c r="O20" s="128" t="str">
        <f>IF('4 Hourly RR Chart Reading'!O20="","",'4 Hourly RR Chart Reading'!O20*'4 Hourly RR Chart Reading'!AL20)</f>
        <v/>
      </c>
      <c r="P20" s="128" t="str">
        <f>IF('4 Hourly RR Chart Reading'!P20="","",'4 Hourly RR Chart Reading'!P20*'4 Hourly RR Chart Reading'!AL20)</f>
        <v/>
      </c>
      <c r="Q20" s="128" t="str">
        <f>IF('4 Hourly RR Chart Reading'!Q20="","",'4 Hourly RR Chart Reading'!Q20*'4 Hourly RR Chart Reading'!AL20)</f>
        <v/>
      </c>
      <c r="R20" s="128" t="str">
        <f>IF('4 Hourly RR Chart Reading'!R20="","",'4 Hourly RR Chart Reading'!R20*'4 Hourly RR Chart Reading'!AL20)</f>
        <v/>
      </c>
      <c r="S20" s="164" t="str">
        <f>IF('4 Hourly RR Chart Reading'!S20="","",'4 Hourly RR Chart Reading'!S20*'4 Hourly RR Chart Reading'!AL20)</f>
        <v/>
      </c>
      <c r="T20" s="127" t="str">
        <f>IF('4 Hourly RR Chart Reading'!T20="","",'4 Hourly RR Chart Reading'!T20*'4 Hourly RR Chart Reading'!AM20)</f>
        <v/>
      </c>
      <c r="U20" s="128" t="str">
        <f>IF('4 Hourly RR Chart Reading'!U20="","",'4 Hourly RR Chart Reading'!U20*'4 Hourly RR Chart Reading'!AM20)</f>
        <v/>
      </c>
      <c r="V20" s="128" t="str">
        <f>IF('4 Hourly RR Chart Reading'!V20="","",'4 Hourly RR Chart Reading'!V20*'4 Hourly RR Chart Reading'!AM20)</f>
        <v/>
      </c>
      <c r="W20" s="128" t="str">
        <f>IF('4 Hourly RR Chart Reading'!W20="","",'4 Hourly RR Chart Reading'!W20*'4 Hourly RR Chart Reading'!AM20)</f>
        <v/>
      </c>
      <c r="X20" s="128" t="str">
        <f>IF('4 Hourly RR Chart Reading'!X20="","",'4 Hourly RR Chart Reading'!X20*'4 Hourly RR Chart Reading'!AM20)</f>
        <v/>
      </c>
      <c r="Y20" s="129" t="str">
        <f>IF('4 Hourly RR Chart Reading'!Y20="","",'4 Hourly RR Chart Reading'!Y20*'4 Hourly RR Chart Reading'!AM20)</f>
        <v/>
      </c>
      <c r="Z20" s="163" t="str">
        <f>IF('4 Hourly RR Chart Reading'!Z20="","",'4 Hourly RR Chart Reading'!Z20*'4 Hourly RR Chart Reading'!AN20)</f>
        <v/>
      </c>
      <c r="AA20" s="128" t="str">
        <f>IF('4 Hourly RR Chart Reading'!AA20="","",'4 Hourly RR Chart Reading'!AA20*'4 Hourly RR Chart Reading'!AN20)</f>
        <v/>
      </c>
      <c r="AB20" s="128" t="str">
        <f>IF('4 Hourly RR Chart Reading'!AB20="","",'4 Hourly RR Chart Reading'!AB20*'4 Hourly RR Chart Reading'!AN20)</f>
        <v/>
      </c>
      <c r="AC20" s="128" t="str">
        <f>IF('4 Hourly RR Chart Reading'!AC20="","",'4 Hourly RR Chart Reading'!AC20*'4 Hourly RR Chart Reading'!AN20)</f>
        <v/>
      </c>
      <c r="AD20" s="128" t="str">
        <f>IF('4 Hourly RR Chart Reading'!AD20="","",'4 Hourly RR Chart Reading'!AD20*'4 Hourly RR Chart Reading'!AN20)</f>
        <v/>
      </c>
      <c r="AE20" s="129" t="str">
        <f>IF('4 Hourly RR Chart Reading'!AE20="","",'4 Hourly RR Chart Reading'!AE20*'4 Hourly RR Chart Reading'!AN20)</f>
        <v/>
      </c>
      <c r="AF20" s="151"/>
      <c r="AG20" s="155" t="str">
        <f t="shared" si="0"/>
        <v/>
      </c>
      <c r="AH20" s="156" t="str">
        <f t="shared" si="1"/>
        <v/>
      </c>
      <c r="AI20" s="156" t="str">
        <f t="shared" si="2"/>
        <v/>
      </c>
      <c r="AJ20" s="157" t="str">
        <f t="shared" si="3"/>
        <v/>
      </c>
    </row>
    <row r="21" spans="1:36" ht="13.9" customHeight="1" x14ac:dyDescent="0.25">
      <c r="A21" s="72">
        <v>10</v>
      </c>
      <c r="B21" s="73" t="str">
        <f>IF('4 Hourly RR Chart Reading'!B21="","",'4 Hourly RR Chart Reading'!B21)</f>
        <v/>
      </c>
      <c r="C21" s="172">
        <f>IF('4 Hourly RR Chart Reading'!C21="","",'4 Hourly RR Chart Reading'!C21)</f>
        <v>0</v>
      </c>
      <c r="D21" s="173">
        <f>IF('4 Hourly RR Chart Reading'!D21="","",'4 Hourly RR Chart Reading'!D21)</f>
        <v>0</v>
      </c>
      <c r="E21" s="173">
        <f>IF('4 Hourly RR Chart Reading'!E21="","",'4 Hourly RR Chart Reading'!E21)</f>
        <v>0</v>
      </c>
      <c r="F21" s="174">
        <f>IF('4 Hourly RR Chart Reading'!F21="","",'4 Hourly RR Chart Reading'!F21)</f>
        <v>0</v>
      </c>
      <c r="G21" s="175">
        <f>IF('4 Hourly RR Chart Reading'!G21="","",'4 Hourly RR Chart Reading'!G21)</f>
        <v>0</v>
      </c>
      <c r="H21" s="163" t="str">
        <f>IF('4 Hourly RR Chart Reading'!H21="","",'4 Hourly RR Chart Reading'!H21*'4 Hourly RR Chart Reading'!AK21)</f>
        <v/>
      </c>
      <c r="I21" s="128" t="str">
        <f>IF('4 Hourly RR Chart Reading'!I21="","",'4 Hourly RR Chart Reading'!I21*'4 Hourly RR Chart Reading'!AK21)</f>
        <v/>
      </c>
      <c r="J21" s="128" t="str">
        <f>IF('4 Hourly RR Chart Reading'!J21="","",'4 Hourly RR Chart Reading'!J21*'4 Hourly RR Chart Reading'!AK21)</f>
        <v/>
      </c>
      <c r="K21" s="128" t="str">
        <f>IF('4 Hourly RR Chart Reading'!K21="","",'4 Hourly RR Chart Reading'!K21*'4 Hourly RR Chart Reading'!AK21)</f>
        <v/>
      </c>
      <c r="L21" s="128" t="str">
        <f>IF('4 Hourly RR Chart Reading'!L21="","",'4 Hourly RR Chart Reading'!L21*'4 Hourly RR Chart Reading'!AK21)</f>
        <v/>
      </c>
      <c r="M21" s="129" t="str">
        <f>IF('4 Hourly RR Chart Reading'!M21="","",'4 Hourly RR Chart Reading'!M21*'4 Hourly RR Chart Reading'!AK21)</f>
        <v/>
      </c>
      <c r="N21" s="163" t="str">
        <f>IF('4 Hourly RR Chart Reading'!N21="","",'4 Hourly RR Chart Reading'!N21*'4 Hourly RR Chart Reading'!AL21)</f>
        <v/>
      </c>
      <c r="O21" s="128" t="str">
        <f>IF('4 Hourly RR Chart Reading'!O21="","",'4 Hourly RR Chart Reading'!O21*'4 Hourly RR Chart Reading'!AL21)</f>
        <v/>
      </c>
      <c r="P21" s="128" t="str">
        <f>IF('4 Hourly RR Chart Reading'!P21="","",'4 Hourly RR Chart Reading'!P21*'4 Hourly RR Chart Reading'!AL21)</f>
        <v/>
      </c>
      <c r="Q21" s="128" t="str">
        <f>IF('4 Hourly RR Chart Reading'!Q21="","",'4 Hourly RR Chart Reading'!Q21*'4 Hourly RR Chart Reading'!AL21)</f>
        <v/>
      </c>
      <c r="R21" s="128" t="str">
        <f>IF('4 Hourly RR Chart Reading'!R21="","",'4 Hourly RR Chart Reading'!R21*'4 Hourly RR Chart Reading'!AL21)</f>
        <v/>
      </c>
      <c r="S21" s="164" t="str">
        <f>IF('4 Hourly RR Chart Reading'!S21="","",'4 Hourly RR Chart Reading'!S21*'4 Hourly RR Chart Reading'!AL21)</f>
        <v/>
      </c>
      <c r="T21" s="127" t="str">
        <f>IF('4 Hourly RR Chart Reading'!T21="","",'4 Hourly RR Chart Reading'!T21*'4 Hourly RR Chart Reading'!AM21)</f>
        <v/>
      </c>
      <c r="U21" s="128" t="str">
        <f>IF('4 Hourly RR Chart Reading'!U21="","",'4 Hourly RR Chart Reading'!U21*'4 Hourly RR Chart Reading'!AM21)</f>
        <v/>
      </c>
      <c r="V21" s="128" t="str">
        <f>IF('4 Hourly RR Chart Reading'!V21="","",'4 Hourly RR Chart Reading'!V21*'4 Hourly RR Chart Reading'!AM21)</f>
        <v/>
      </c>
      <c r="W21" s="128" t="str">
        <f>IF('4 Hourly RR Chart Reading'!W21="","",'4 Hourly RR Chart Reading'!W21*'4 Hourly RR Chart Reading'!AM21)</f>
        <v/>
      </c>
      <c r="X21" s="128" t="str">
        <f>IF('4 Hourly RR Chart Reading'!X21="","",'4 Hourly RR Chart Reading'!X21*'4 Hourly RR Chart Reading'!AM21)</f>
        <v/>
      </c>
      <c r="Y21" s="129" t="str">
        <f>IF('4 Hourly RR Chart Reading'!Y21="","",'4 Hourly RR Chart Reading'!Y21*'4 Hourly RR Chart Reading'!AM21)</f>
        <v/>
      </c>
      <c r="Z21" s="163" t="str">
        <f>IF('4 Hourly RR Chart Reading'!Z21="","",'4 Hourly RR Chart Reading'!Z21*'4 Hourly RR Chart Reading'!AN21)</f>
        <v/>
      </c>
      <c r="AA21" s="128" t="str">
        <f>IF('4 Hourly RR Chart Reading'!AA21="","",'4 Hourly RR Chart Reading'!AA21*'4 Hourly RR Chart Reading'!AN21)</f>
        <v/>
      </c>
      <c r="AB21" s="128" t="str">
        <f>IF('4 Hourly RR Chart Reading'!AB21="","",'4 Hourly RR Chart Reading'!AB21*'4 Hourly RR Chart Reading'!AN21)</f>
        <v/>
      </c>
      <c r="AC21" s="128" t="str">
        <f>IF('4 Hourly RR Chart Reading'!AC21="","",'4 Hourly RR Chart Reading'!AC21*'4 Hourly RR Chart Reading'!AN21)</f>
        <v/>
      </c>
      <c r="AD21" s="128" t="str">
        <f>IF('4 Hourly RR Chart Reading'!AD21="","",'4 Hourly RR Chart Reading'!AD21*'4 Hourly RR Chart Reading'!AN21)</f>
        <v/>
      </c>
      <c r="AE21" s="129" t="str">
        <f>IF('4 Hourly RR Chart Reading'!AE21="","",'4 Hourly RR Chart Reading'!AE21*'4 Hourly RR Chart Reading'!AN21)</f>
        <v/>
      </c>
      <c r="AF21" s="151"/>
      <c r="AG21" s="155" t="str">
        <f t="shared" si="0"/>
        <v/>
      </c>
      <c r="AH21" s="156" t="str">
        <f t="shared" si="1"/>
        <v/>
      </c>
      <c r="AI21" s="156" t="str">
        <f t="shared" si="2"/>
        <v/>
      </c>
      <c r="AJ21" s="157" t="str">
        <f t="shared" si="3"/>
        <v/>
      </c>
    </row>
    <row r="22" spans="1:36" ht="13.9" customHeight="1" x14ac:dyDescent="0.25">
      <c r="A22" s="72">
        <v>11</v>
      </c>
      <c r="B22" s="73" t="str">
        <f>IF('4 Hourly RR Chart Reading'!B22="","",'4 Hourly RR Chart Reading'!B22)</f>
        <v/>
      </c>
      <c r="C22" s="172">
        <f>IF('4 Hourly RR Chart Reading'!C22="","",'4 Hourly RR Chart Reading'!C22)</f>
        <v>0</v>
      </c>
      <c r="D22" s="173">
        <f>IF('4 Hourly RR Chart Reading'!D22="","",'4 Hourly RR Chart Reading'!D22)</f>
        <v>0</v>
      </c>
      <c r="E22" s="173">
        <f>IF('4 Hourly RR Chart Reading'!E22="","",'4 Hourly RR Chart Reading'!E22)</f>
        <v>0</v>
      </c>
      <c r="F22" s="174">
        <f>IF('4 Hourly RR Chart Reading'!F22="","",'4 Hourly RR Chart Reading'!F22)</f>
        <v>0</v>
      </c>
      <c r="G22" s="175">
        <f>IF('4 Hourly RR Chart Reading'!G22="","",'4 Hourly RR Chart Reading'!G22)</f>
        <v>0</v>
      </c>
      <c r="H22" s="163" t="str">
        <f>IF('4 Hourly RR Chart Reading'!H22="","",'4 Hourly RR Chart Reading'!H22*'4 Hourly RR Chart Reading'!AK22)</f>
        <v/>
      </c>
      <c r="I22" s="128" t="str">
        <f>IF('4 Hourly RR Chart Reading'!I22="","",'4 Hourly RR Chart Reading'!I22*'4 Hourly RR Chart Reading'!AK22)</f>
        <v/>
      </c>
      <c r="J22" s="128" t="str">
        <f>IF('4 Hourly RR Chart Reading'!J22="","",'4 Hourly RR Chart Reading'!J22*'4 Hourly RR Chart Reading'!AK22)</f>
        <v/>
      </c>
      <c r="K22" s="128" t="str">
        <f>IF('4 Hourly RR Chart Reading'!K22="","",'4 Hourly RR Chart Reading'!K22*'4 Hourly RR Chart Reading'!AK22)</f>
        <v/>
      </c>
      <c r="L22" s="128" t="str">
        <f>IF('4 Hourly RR Chart Reading'!L22="","",'4 Hourly RR Chart Reading'!L22*'4 Hourly RR Chart Reading'!AK22)</f>
        <v/>
      </c>
      <c r="M22" s="129" t="str">
        <f>IF('4 Hourly RR Chart Reading'!M22="","",'4 Hourly RR Chart Reading'!M22*'4 Hourly RR Chart Reading'!AK22)</f>
        <v/>
      </c>
      <c r="N22" s="163" t="str">
        <f>IF('4 Hourly RR Chart Reading'!N22="","",'4 Hourly RR Chart Reading'!N22*'4 Hourly RR Chart Reading'!AL22)</f>
        <v/>
      </c>
      <c r="O22" s="128" t="str">
        <f>IF('4 Hourly RR Chart Reading'!O22="","",'4 Hourly RR Chart Reading'!O22*'4 Hourly RR Chart Reading'!AL22)</f>
        <v/>
      </c>
      <c r="P22" s="128" t="str">
        <f>IF('4 Hourly RR Chart Reading'!P22="","",'4 Hourly RR Chart Reading'!P22*'4 Hourly RR Chart Reading'!AL22)</f>
        <v/>
      </c>
      <c r="Q22" s="128" t="str">
        <f>IF('4 Hourly RR Chart Reading'!Q22="","",'4 Hourly RR Chart Reading'!Q22*'4 Hourly RR Chart Reading'!AL22)</f>
        <v/>
      </c>
      <c r="R22" s="128" t="str">
        <f>IF('4 Hourly RR Chart Reading'!R22="","",'4 Hourly RR Chart Reading'!R22*'4 Hourly RR Chart Reading'!AL22)</f>
        <v/>
      </c>
      <c r="S22" s="164" t="str">
        <f>IF('4 Hourly RR Chart Reading'!S22="","",'4 Hourly RR Chart Reading'!S22*'4 Hourly RR Chart Reading'!AL22)</f>
        <v/>
      </c>
      <c r="T22" s="127" t="str">
        <f>IF('4 Hourly RR Chart Reading'!T22="","",'4 Hourly RR Chart Reading'!T22*'4 Hourly RR Chart Reading'!AM22)</f>
        <v/>
      </c>
      <c r="U22" s="128" t="str">
        <f>IF('4 Hourly RR Chart Reading'!U22="","",'4 Hourly RR Chart Reading'!U22*'4 Hourly RR Chart Reading'!AM22)</f>
        <v/>
      </c>
      <c r="V22" s="128" t="str">
        <f>IF('4 Hourly RR Chart Reading'!V22="","",'4 Hourly RR Chart Reading'!V22*'4 Hourly RR Chart Reading'!AM22)</f>
        <v/>
      </c>
      <c r="W22" s="128" t="str">
        <f>IF('4 Hourly RR Chart Reading'!W22="","",'4 Hourly RR Chart Reading'!W22*'4 Hourly RR Chart Reading'!AM22)</f>
        <v/>
      </c>
      <c r="X22" s="128" t="str">
        <f>IF('4 Hourly RR Chart Reading'!X22="","",'4 Hourly RR Chart Reading'!X22*'4 Hourly RR Chart Reading'!AM22)</f>
        <v/>
      </c>
      <c r="Y22" s="129" t="str">
        <f>IF('4 Hourly RR Chart Reading'!Y22="","",'4 Hourly RR Chart Reading'!Y22*'4 Hourly RR Chart Reading'!AM22)</f>
        <v/>
      </c>
      <c r="Z22" s="163" t="str">
        <f>IF('4 Hourly RR Chart Reading'!Z22="","",'4 Hourly RR Chart Reading'!Z22*'4 Hourly RR Chart Reading'!AN22)</f>
        <v/>
      </c>
      <c r="AA22" s="128" t="str">
        <f>IF('4 Hourly RR Chart Reading'!AA22="","",'4 Hourly RR Chart Reading'!AA22*'4 Hourly RR Chart Reading'!AN22)</f>
        <v/>
      </c>
      <c r="AB22" s="128" t="str">
        <f>IF('4 Hourly RR Chart Reading'!AB22="","",'4 Hourly RR Chart Reading'!AB22*'4 Hourly RR Chart Reading'!AN22)</f>
        <v/>
      </c>
      <c r="AC22" s="128" t="str">
        <f>IF('4 Hourly RR Chart Reading'!AC22="","",'4 Hourly RR Chart Reading'!AC22*'4 Hourly RR Chart Reading'!AN22)</f>
        <v/>
      </c>
      <c r="AD22" s="128" t="str">
        <f>IF('4 Hourly RR Chart Reading'!AD22="","",'4 Hourly RR Chart Reading'!AD22*'4 Hourly RR Chart Reading'!AN22)</f>
        <v/>
      </c>
      <c r="AE22" s="129" t="str">
        <f>IF('4 Hourly RR Chart Reading'!AE22="","",'4 Hourly RR Chart Reading'!AE22*'4 Hourly RR Chart Reading'!AN22)</f>
        <v/>
      </c>
      <c r="AF22" s="151"/>
      <c r="AG22" s="155" t="str">
        <f>IF(AND(H22="",M22=""),"",SUM(H22:M22))</f>
        <v/>
      </c>
      <c r="AH22" s="156" t="str">
        <f>IF(AND(N22="",S22=""),"",SUM(N22:S22))</f>
        <v/>
      </c>
      <c r="AI22" s="156" t="str">
        <f>IF(AND(T22="",Y22=""),"",SUM(T22:Y22))</f>
        <v/>
      </c>
      <c r="AJ22" s="157" t="str">
        <f t="shared" si="3"/>
        <v/>
      </c>
    </row>
    <row r="23" spans="1:36" ht="13.9" customHeight="1" x14ac:dyDescent="0.25">
      <c r="A23" s="72">
        <v>12</v>
      </c>
      <c r="B23" s="73" t="str">
        <f>IF('4 Hourly RR Chart Reading'!B23="","",'4 Hourly RR Chart Reading'!B23)</f>
        <v/>
      </c>
      <c r="C23" s="172">
        <f>IF('4 Hourly RR Chart Reading'!C23="","",'4 Hourly RR Chart Reading'!C23)</f>
        <v>0</v>
      </c>
      <c r="D23" s="173">
        <f>IF('4 Hourly RR Chart Reading'!D23="","",'4 Hourly RR Chart Reading'!D23)</f>
        <v>0</v>
      </c>
      <c r="E23" s="173">
        <f>IF('4 Hourly RR Chart Reading'!E23="","",'4 Hourly RR Chart Reading'!E23)</f>
        <v>0</v>
      </c>
      <c r="F23" s="174">
        <f>IF('4 Hourly RR Chart Reading'!F23="","",'4 Hourly RR Chart Reading'!F23)</f>
        <v>0</v>
      </c>
      <c r="G23" s="175">
        <f>IF('4 Hourly RR Chart Reading'!G23="","",'4 Hourly RR Chart Reading'!G23)</f>
        <v>0</v>
      </c>
      <c r="H23" s="163" t="str">
        <f>IF('4 Hourly RR Chart Reading'!H23="","",'4 Hourly RR Chart Reading'!H23*'4 Hourly RR Chart Reading'!AK23)</f>
        <v/>
      </c>
      <c r="I23" s="128" t="str">
        <f>IF('4 Hourly RR Chart Reading'!I23="","",'4 Hourly RR Chart Reading'!I23*'4 Hourly RR Chart Reading'!AK23)</f>
        <v/>
      </c>
      <c r="J23" s="128" t="str">
        <f>IF('4 Hourly RR Chart Reading'!J23="","",'4 Hourly RR Chart Reading'!J23*'4 Hourly RR Chart Reading'!AK23)</f>
        <v/>
      </c>
      <c r="K23" s="128" t="str">
        <f>IF('4 Hourly RR Chart Reading'!K23="","",'4 Hourly RR Chart Reading'!K23*'4 Hourly RR Chart Reading'!AK23)</f>
        <v/>
      </c>
      <c r="L23" s="128" t="str">
        <f>IF('4 Hourly RR Chart Reading'!L23="","",'4 Hourly RR Chart Reading'!L23*'4 Hourly RR Chart Reading'!AK23)</f>
        <v/>
      </c>
      <c r="M23" s="129" t="str">
        <f>IF('4 Hourly RR Chart Reading'!M23="","",'4 Hourly RR Chart Reading'!M23*'4 Hourly RR Chart Reading'!AK23)</f>
        <v/>
      </c>
      <c r="N23" s="163" t="str">
        <f>IF('4 Hourly RR Chart Reading'!N23="","",'4 Hourly RR Chart Reading'!N23*'4 Hourly RR Chart Reading'!AL23)</f>
        <v/>
      </c>
      <c r="O23" s="128" t="str">
        <f>IF('4 Hourly RR Chart Reading'!O23="","",'4 Hourly RR Chart Reading'!O23*'4 Hourly RR Chart Reading'!AL23)</f>
        <v/>
      </c>
      <c r="P23" s="128" t="str">
        <f>IF('4 Hourly RR Chart Reading'!P23="","",'4 Hourly RR Chart Reading'!P23*'4 Hourly RR Chart Reading'!AL23)</f>
        <v/>
      </c>
      <c r="Q23" s="128" t="str">
        <f>IF('4 Hourly RR Chart Reading'!Q23="","",'4 Hourly RR Chart Reading'!Q23*'4 Hourly RR Chart Reading'!AL23)</f>
        <v/>
      </c>
      <c r="R23" s="128" t="str">
        <f>IF('4 Hourly RR Chart Reading'!R23="","",'4 Hourly RR Chart Reading'!R23*'4 Hourly RR Chart Reading'!AL23)</f>
        <v/>
      </c>
      <c r="S23" s="164" t="str">
        <f>IF('4 Hourly RR Chart Reading'!S23="","",'4 Hourly RR Chart Reading'!S23*'4 Hourly RR Chart Reading'!AL23)</f>
        <v/>
      </c>
      <c r="T23" s="127" t="str">
        <f>IF('4 Hourly RR Chart Reading'!T23="","",'4 Hourly RR Chart Reading'!T23*'4 Hourly RR Chart Reading'!AM23)</f>
        <v/>
      </c>
      <c r="U23" s="128" t="str">
        <f>IF('4 Hourly RR Chart Reading'!U23="","",'4 Hourly RR Chart Reading'!U23*'4 Hourly RR Chart Reading'!AM23)</f>
        <v/>
      </c>
      <c r="V23" s="128" t="str">
        <f>IF('4 Hourly RR Chart Reading'!V23="","",'4 Hourly RR Chart Reading'!V23*'4 Hourly RR Chart Reading'!AM23)</f>
        <v/>
      </c>
      <c r="W23" s="128" t="str">
        <f>IF('4 Hourly RR Chart Reading'!W23="","",'4 Hourly RR Chart Reading'!W23*'4 Hourly RR Chart Reading'!AM23)</f>
        <v/>
      </c>
      <c r="X23" s="128" t="str">
        <f>IF('4 Hourly RR Chart Reading'!X23="","",'4 Hourly RR Chart Reading'!X23*'4 Hourly RR Chart Reading'!AM23)</f>
        <v/>
      </c>
      <c r="Y23" s="129" t="str">
        <f>IF('4 Hourly RR Chart Reading'!Y23="","",'4 Hourly RR Chart Reading'!Y23*'4 Hourly RR Chart Reading'!AM23)</f>
        <v/>
      </c>
      <c r="Z23" s="163" t="str">
        <f>IF('4 Hourly RR Chart Reading'!Z23="","",'4 Hourly RR Chart Reading'!Z23*'4 Hourly RR Chart Reading'!AN23)</f>
        <v/>
      </c>
      <c r="AA23" s="128" t="str">
        <f>IF('4 Hourly RR Chart Reading'!AA23="","",'4 Hourly RR Chart Reading'!AA23*'4 Hourly RR Chart Reading'!AN23)</f>
        <v/>
      </c>
      <c r="AB23" s="128" t="str">
        <f>IF('4 Hourly RR Chart Reading'!AB23="","",'4 Hourly RR Chart Reading'!AB23*'4 Hourly RR Chart Reading'!AN23)</f>
        <v/>
      </c>
      <c r="AC23" s="128" t="str">
        <f>IF('4 Hourly RR Chart Reading'!AC23="","",'4 Hourly RR Chart Reading'!AC23*'4 Hourly RR Chart Reading'!AN23)</f>
        <v/>
      </c>
      <c r="AD23" s="128" t="str">
        <f>IF('4 Hourly RR Chart Reading'!AD23="","",'4 Hourly RR Chart Reading'!AD23*'4 Hourly RR Chart Reading'!AN23)</f>
        <v/>
      </c>
      <c r="AE23" s="129" t="str">
        <f>IF('4 Hourly RR Chart Reading'!AE23="","",'4 Hourly RR Chart Reading'!AE23*'4 Hourly RR Chart Reading'!AN23)</f>
        <v/>
      </c>
      <c r="AF23" s="151"/>
      <c r="AG23" s="155" t="str">
        <f t="shared" si="0"/>
        <v/>
      </c>
      <c r="AH23" s="156" t="str">
        <f t="shared" si="1"/>
        <v/>
      </c>
      <c r="AI23" s="156" t="str">
        <f t="shared" si="2"/>
        <v/>
      </c>
      <c r="AJ23" s="157" t="str">
        <f>IF(AND(Z23="",AE23=""),"",SUM(Z23:AE23))</f>
        <v/>
      </c>
    </row>
    <row r="24" spans="1:36" ht="13.9" customHeight="1" x14ac:dyDescent="0.25">
      <c r="A24" s="72">
        <v>13</v>
      </c>
      <c r="B24" s="73" t="str">
        <f>IF('4 Hourly RR Chart Reading'!B24="","",'4 Hourly RR Chart Reading'!B24)</f>
        <v/>
      </c>
      <c r="C24" s="172">
        <f>IF('4 Hourly RR Chart Reading'!C24="","",'4 Hourly RR Chart Reading'!C24)</f>
        <v>0</v>
      </c>
      <c r="D24" s="173">
        <f>IF('4 Hourly RR Chart Reading'!D24="","",'4 Hourly RR Chart Reading'!D24)</f>
        <v>0</v>
      </c>
      <c r="E24" s="173">
        <f>IF('4 Hourly RR Chart Reading'!E24="","",'4 Hourly RR Chart Reading'!E24)</f>
        <v>0</v>
      </c>
      <c r="F24" s="174">
        <f>IF('4 Hourly RR Chart Reading'!F24="","",'4 Hourly RR Chart Reading'!F24)</f>
        <v>0</v>
      </c>
      <c r="G24" s="175">
        <f>IF('4 Hourly RR Chart Reading'!G24="","",'4 Hourly RR Chart Reading'!G24)</f>
        <v>0</v>
      </c>
      <c r="H24" s="163" t="str">
        <f>IF('4 Hourly RR Chart Reading'!H24="","",'4 Hourly RR Chart Reading'!H24*'4 Hourly RR Chart Reading'!AK24)</f>
        <v/>
      </c>
      <c r="I24" s="128" t="str">
        <f>IF('4 Hourly RR Chart Reading'!I24="","",'4 Hourly RR Chart Reading'!I24*'4 Hourly RR Chart Reading'!AK24)</f>
        <v/>
      </c>
      <c r="J24" s="128" t="str">
        <f>IF('4 Hourly RR Chart Reading'!J24="","",'4 Hourly RR Chart Reading'!J24*'4 Hourly RR Chart Reading'!AK24)</f>
        <v/>
      </c>
      <c r="K24" s="128" t="str">
        <f>IF('4 Hourly RR Chart Reading'!K24="","",'4 Hourly RR Chart Reading'!K24*'4 Hourly RR Chart Reading'!AK24)</f>
        <v/>
      </c>
      <c r="L24" s="128" t="str">
        <f>IF('4 Hourly RR Chart Reading'!L24="","",'4 Hourly RR Chart Reading'!L24*'4 Hourly RR Chart Reading'!AK24)</f>
        <v/>
      </c>
      <c r="M24" s="129" t="str">
        <f>IF('4 Hourly RR Chart Reading'!M24="","",'4 Hourly RR Chart Reading'!M24*'4 Hourly RR Chart Reading'!AK24)</f>
        <v/>
      </c>
      <c r="N24" s="163" t="str">
        <f>IF('4 Hourly RR Chart Reading'!N24="","",'4 Hourly RR Chart Reading'!N24*'4 Hourly RR Chart Reading'!AL24)</f>
        <v/>
      </c>
      <c r="O24" s="128" t="str">
        <f>IF('4 Hourly RR Chart Reading'!O24="","",'4 Hourly RR Chart Reading'!O24*'4 Hourly RR Chart Reading'!AL24)</f>
        <v/>
      </c>
      <c r="P24" s="128" t="str">
        <f>IF('4 Hourly RR Chart Reading'!P24="","",'4 Hourly RR Chart Reading'!P24*'4 Hourly RR Chart Reading'!AL24)</f>
        <v/>
      </c>
      <c r="Q24" s="128" t="str">
        <f>IF('4 Hourly RR Chart Reading'!Q24="","",'4 Hourly RR Chart Reading'!Q24*'4 Hourly RR Chart Reading'!AL24)</f>
        <v/>
      </c>
      <c r="R24" s="128" t="str">
        <f>IF('4 Hourly RR Chart Reading'!R24="","",'4 Hourly RR Chart Reading'!R24*'4 Hourly RR Chart Reading'!AL24)</f>
        <v/>
      </c>
      <c r="S24" s="164" t="str">
        <f>IF('4 Hourly RR Chart Reading'!S24="","",'4 Hourly RR Chart Reading'!S24*'4 Hourly RR Chart Reading'!AL24)</f>
        <v/>
      </c>
      <c r="T24" s="127" t="str">
        <f>IF('4 Hourly RR Chart Reading'!T24="","",'4 Hourly RR Chart Reading'!T24*'4 Hourly RR Chart Reading'!AM24)</f>
        <v/>
      </c>
      <c r="U24" s="128" t="str">
        <f>IF('4 Hourly RR Chart Reading'!U24="","",'4 Hourly RR Chart Reading'!U24*'4 Hourly RR Chart Reading'!AM24)</f>
        <v/>
      </c>
      <c r="V24" s="128" t="str">
        <f>IF('4 Hourly RR Chart Reading'!V24="","",'4 Hourly RR Chart Reading'!V24*'4 Hourly RR Chart Reading'!AM24)</f>
        <v/>
      </c>
      <c r="W24" s="128" t="str">
        <f>IF('4 Hourly RR Chart Reading'!W24="","",'4 Hourly RR Chart Reading'!W24*'4 Hourly RR Chart Reading'!AM24)</f>
        <v/>
      </c>
      <c r="X24" s="128" t="str">
        <f>IF('4 Hourly RR Chart Reading'!X24="","",'4 Hourly RR Chart Reading'!X24*'4 Hourly RR Chart Reading'!AM24)</f>
        <v/>
      </c>
      <c r="Y24" s="129" t="str">
        <f>IF('4 Hourly RR Chart Reading'!Y24="","",'4 Hourly RR Chart Reading'!Y24*'4 Hourly RR Chart Reading'!AM24)</f>
        <v/>
      </c>
      <c r="Z24" s="163" t="str">
        <f>IF('4 Hourly RR Chart Reading'!Z24="","",'4 Hourly RR Chart Reading'!Z24*'4 Hourly RR Chart Reading'!AN24)</f>
        <v/>
      </c>
      <c r="AA24" s="128" t="str">
        <f>IF('4 Hourly RR Chart Reading'!AA24="","",'4 Hourly RR Chart Reading'!AA24*'4 Hourly RR Chart Reading'!AN24)</f>
        <v/>
      </c>
      <c r="AB24" s="128" t="str">
        <f>IF('4 Hourly RR Chart Reading'!AB24="","",'4 Hourly RR Chart Reading'!AB24*'4 Hourly RR Chart Reading'!AN24)</f>
        <v/>
      </c>
      <c r="AC24" s="128" t="str">
        <f>IF('4 Hourly RR Chart Reading'!AC24="","",'4 Hourly RR Chart Reading'!AC24*'4 Hourly RR Chart Reading'!AN24)</f>
        <v/>
      </c>
      <c r="AD24" s="128" t="str">
        <f>IF('4 Hourly RR Chart Reading'!AD24="","",'4 Hourly RR Chart Reading'!AD24*'4 Hourly RR Chart Reading'!AN24)</f>
        <v/>
      </c>
      <c r="AE24" s="129" t="str">
        <f>IF('4 Hourly RR Chart Reading'!AE24="","",'4 Hourly RR Chart Reading'!AE24*'4 Hourly RR Chart Reading'!AN24)</f>
        <v/>
      </c>
      <c r="AF24" s="151"/>
      <c r="AG24" s="155" t="str">
        <f t="shared" si="0"/>
        <v/>
      </c>
      <c r="AH24" s="156" t="str">
        <f t="shared" si="1"/>
        <v/>
      </c>
      <c r="AI24" s="156" t="str">
        <f t="shared" si="2"/>
        <v/>
      </c>
      <c r="AJ24" s="157" t="str">
        <f t="shared" si="3"/>
        <v/>
      </c>
    </row>
    <row r="25" spans="1:36" ht="13.9" customHeight="1" x14ac:dyDescent="0.25">
      <c r="A25" s="72">
        <v>14</v>
      </c>
      <c r="B25" s="73" t="str">
        <f>IF('4 Hourly RR Chart Reading'!B25="","",'4 Hourly RR Chart Reading'!B25)</f>
        <v/>
      </c>
      <c r="C25" s="172">
        <f>IF('4 Hourly RR Chart Reading'!C25="","",'4 Hourly RR Chart Reading'!C25)</f>
        <v>0</v>
      </c>
      <c r="D25" s="173">
        <f>IF('4 Hourly RR Chart Reading'!D25="","",'4 Hourly RR Chart Reading'!D25)</f>
        <v>0</v>
      </c>
      <c r="E25" s="173">
        <f>IF('4 Hourly RR Chart Reading'!E25="","",'4 Hourly RR Chart Reading'!E25)</f>
        <v>0</v>
      </c>
      <c r="F25" s="174">
        <f>IF('4 Hourly RR Chart Reading'!F25="","",'4 Hourly RR Chart Reading'!F25)</f>
        <v>0</v>
      </c>
      <c r="G25" s="175">
        <f>IF('4 Hourly RR Chart Reading'!G25="","",'4 Hourly RR Chart Reading'!G25)</f>
        <v>0</v>
      </c>
      <c r="H25" s="163" t="str">
        <f>IF('4 Hourly RR Chart Reading'!H25="","",'4 Hourly RR Chart Reading'!H25*'4 Hourly RR Chart Reading'!AK25)</f>
        <v/>
      </c>
      <c r="I25" s="128" t="str">
        <f>IF('4 Hourly RR Chart Reading'!I25="","",'4 Hourly RR Chart Reading'!I25*'4 Hourly RR Chart Reading'!AK25)</f>
        <v/>
      </c>
      <c r="J25" s="128" t="str">
        <f>IF('4 Hourly RR Chart Reading'!J25="","",'4 Hourly RR Chart Reading'!J25*'4 Hourly RR Chart Reading'!AK25)</f>
        <v/>
      </c>
      <c r="K25" s="128" t="str">
        <f>IF('4 Hourly RR Chart Reading'!K25="","",'4 Hourly RR Chart Reading'!K25*'4 Hourly RR Chart Reading'!AK25)</f>
        <v/>
      </c>
      <c r="L25" s="128" t="str">
        <f>IF('4 Hourly RR Chart Reading'!L25="","",'4 Hourly RR Chart Reading'!L25*'4 Hourly RR Chart Reading'!AK25)</f>
        <v/>
      </c>
      <c r="M25" s="129" t="str">
        <f>IF('4 Hourly RR Chart Reading'!M25="","",'4 Hourly RR Chart Reading'!M25*'4 Hourly RR Chart Reading'!AK25)</f>
        <v/>
      </c>
      <c r="N25" s="163" t="str">
        <f>IF('4 Hourly RR Chart Reading'!N25="","",'4 Hourly RR Chart Reading'!N25*'4 Hourly RR Chart Reading'!AL25)</f>
        <v/>
      </c>
      <c r="O25" s="128" t="str">
        <f>IF('4 Hourly RR Chart Reading'!O25="","",'4 Hourly RR Chart Reading'!O25*'4 Hourly RR Chart Reading'!AL25)</f>
        <v/>
      </c>
      <c r="P25" s="128" t="str">
        <f>IF('4 Hourly RR Chart Reading'!P25="","",'4 Hourly RR Chart Reading'!P25*'4 Hourly RR Chart Reading'!AL25)</f>
        <v/>
      </c>
      <c r="Q25" s="128" t="str">
        <f>IF('4 Hourly RR Chart Reading'!Q25="","",'4 Hourly RR Chart Reading'!Q25*'4 Hourly RR Chart Reading'!AL25)</f>
        <v/>
      </c>
      <c r="R25" s="128" t="str">
        <f>IF('4 Hourly RR Chart Reading'!R25="","",'4 Hourly RR Chart Reading'!R25*'4 Hourly RR Chart Reading'!AL25)</f>
        <v/>
      </c>
      <c r="S25" s="164" t="str">
        <f>IF('4 Hourly RR Chart Reading'!S25="","",'4 Hourly RR Chart Reading'!S25*'4 Hourly RR Chart Reading'!AL25)</f>
        <v/>
      </c>
      <c r="T25" s="127" t="str">
        <f>IF('4 Hourly RR Chart Reading'!T25="","",'4 Hourly RR Chart Reading'!T25*'4 Hourly RR Chart Reading'!AM25)</f>
        <v/>
      </c>
      <c r="U25" s="128" t="str">
        <f>IF('4 Hourly RR Chart Reading'!U25="","",'4 Hourly RR Chart Reading'!U25*'4 Hourly RR Chart Reading'!AM25)</f>
        <v/>
      </c>
      <c r="V25" s="128" t="str">
        <f>IF('4 Hourly RR Chart Reading'!V25="","",'4 Hourly RR Chart Reading'!V25*'4 Hourly RR Chart Reading'!AM25)</f>
        <v/>
      </c>
      <c r="W25" s="128" t="str">
        <f>IF('4 Hourly RR Chart Reading'!W25="","",'4 Hourly RR Chart Reading'!W25*'4 Hourly RR Chart Reading'!AM25)</f>
        <v/>
      </c>
      <c r="X25" s="128" t="str">
        <f>IF('4 Hourly RR Chart Reading'!X25="","",'4 Hourly RR Chart Reading'!X25*'4 Hourly RR Chart Reading'!AM25)</f>
        <v/>
      </c>
      <c r="Y25" s="129" t="str">
        <f>IF('4 Hourly RR Chart Reading'!Y25="","",'4 Hourly RR Chart Reading'!Y25*'4 Hourly RR Chart Reading'!AM25)</f>
        <v/>
      </c>
      <c r="Z25" s="163" t="str">
        <f>IF('4 Hourly RR Chart Reading'!Z25="","",'4 Hourly RR Chart Reading'!Z25*'4 Hourly RR Chart Reading'!AN25)</f>
        <v/>
      </c>
      <c r="AA25" s="128" t="str">
        <f>IF('4 Hourly RR Chart Reading'!AA25="","",'4 Hourly RR Chart Reading'!AA25*'4 Hourly RR Chart Reading'!AN25)</f>
        <v/>
      </c>
      <c r="AB25" s="128" t="str">
        <f>IF('4 Hourly RR Chart Reading'!AB25="","",'4 Hourly RR Chart Reading'!AB25*'4 Hourly RR Chart Reading'!AN25)</f>
        <v/>
      </c>
      <c r="AC25" s="128" t="str">
        <f>IF('4 Hourly RR Chart Reading'!AC25="","",'4 Hourly RR Chart Reading'!AC25*'4 Hourly RR Chart Reading'!AN25)</f>
        <v/>
      </c>
      <c r="AD25" s="128" t="str">
        <f>IF('4 Hourly RR Chart Reading'!AD25="","",'4 Hourly RR Chart Reading'!AD25*'4 Hourly RR Chart Reading'!AN25)</f>
        <v/>
      </c>
      <c r="AE25" s="129" t="str">
        <f>IF('4 Hourly RR Chart Reading'!AE25="","",'4 Hourly RR Chart Reading'!AE25*'4 Hourly RR Chart Reading'!AN25)</f>
        <v/>
      </c>
      <c r="AF25" s="151"/>
      <c r="AG25" s="155" t="str">
        <f t="shared" si="0"/>
        <v/>
      </c>
      <c r="AH25" s="156" t="str">
        <f t="shared" si="1"/>
        <v/>
      </c>
      <c r="AI25" s="156" t="str">
        <f t="shared" si="2"/>
        <v/>
      </c>
      <c r="AJ25" s="157" t="str">
        <f t="shared" si="3"/>
        <v/>
      </c>
    </row>
    <row r="26" spans="1:36" ht="13.9" customHeight="1" x14ac:dyDescent="0.25">
      <c r="A26" s="72">
        <v>15</v>
      </c>
      <c r="B26" s="73" t="str">
        <f>IF('4 Hourly RR Chart Reading'!B26="","",'4 Hourly RR Chart Reading'!B26)</f>
        <v/>
      </c>
      <c r="C26" s="172">
        <f>IF('4 Hourly RR Chart Reading'!C26="","",'4 Hourly RR Chart Reading'!C26)</f>
        <v>0</v>
      </c>
      <c r="D26" s="173">
        <f>IF('4 Hourly RR Chart Reading'!D26="","",'4 Hourly RR Chart Reading'!D26)</f>
        <v>0</v>
      </c>
      <c r="E26" s="173">
        <f>IF('4 Hourly RR Chart Reading'!E26="","",'4 Hourly RR Chart Reading'!E26)</f>
        <v>0</v>
      </c>
      <c r="F26" s="174">
        <f>IF('4 Hourly RR Chart Reading'!F26="","",'4 Hourly RR Chart Reading'!F26)</f>
        <v>0</v>
      </c>
      <c r="G26" s="175">
        <f>IF('4 Hourly RR Chart Reading'!G26="","",'4 Hourly RR Chart Reading'!G26)</f>
        <v>0</v>
      </c>
      <c r="H26" s="163" t="str">
        <f>IF('4 Hourly RR Chart Reading'!H26="","",'4 Hourly RR Chart Reading'!H26*'4 Hourly RR Chart Reading'!AK26)</f>
        <v/>
      </c>
      <c r="I26" s="128" t="str">
        <f>IF('4 Hourly RR Chart Reading'!I26="","",'4 Hourly RR Chart Reading'!I26*'4 Hourly RR Chart Reading'!AK26)</f>
        <v/>
      </c>
      <c r="J26" s="128" t="str">
        <f>IF('4 Hourly RR Chart Reading'!J26="","",'4 Hourly RR Chart Reading'!J26*'4 Hourly RR Chart Reading'!AK26)</f>
        <v/>
      </c>
      <c r="K26" s="128" t="str">
        <f>IF('4 Hourly RR Chart Reading'!K26="","",'4 Hourly RR Chart Reading'!K26*'4 Hourly RR Chart Reading'!AK26)</f>
        <v/>
      </c>
      <c r="L26" s="128" t="str">
        <f>IF('4 Hourly RR Chart Reading'!L26="","",'4 Hourly RR Chart Reading'!L26*'4 Hourly RR Chart Reading'!AK26)</f>
        <v/>
      </c>
      <c r="M26" s="129" t="str">
        <f>IF('4 Hourly RR Chart Reading'!M26="","",'4 Hourly RR Chart Reading'!M26*'4 Hourly RR Chart Reading'!AK26)</f>
        <v/>
      </c>
      <c r="N26" s="163" t="str">
        <f>IF('4 Hourly RR Chart Reading'!N26="","",'4 Hourly RR Chart Reading'!N26*'4 Hourly RR Chart Reading'!AL26)</f>
        <v/>
      </c>
      <c r="O26" s="128" t="str">
        <f>IF('4 Hourly RR Chart Reading'!O26="","",'4 Hourly RR Chart Reading'!O26*'4 Hourly RR Chart Reading'!AL26)</f>
        <v/>
      </c>
      <c r="P26" s="128" t="str">
        <f>IF('4 Hourly RR Chart Reading'!P26="","",'4 Hourly RR Chart Reading'!P26*'4 Hourly RR Chart Reading'!AL26)</f>
        <v/>
      </c>
      <c r="Q26" s="128" t="str">
        <f>IF('4 Hourly RR Chart Reading'!Q26="","",'4 Hourly RR Chart Reading'!Q26*'4 Hourly RR Chart Reading'!AL26)</f>
        <v/>
      </c>
      <c r="R26" s="128" t="str">
        <f>IF('4 Hourly RR Chart Reading'!R26="","",'4 Hourly RR Chart Reading'!R26*'4 Hourly RR Chart Reading'!AL26)</f>
        <v/>
      </c>
      <c r="S26" s="164" t="str">
        <f>IF('4 Hourly RR Chart Reading'!S26="","",'4 Hourly RR Chart Reading'!S26*'4 Hourly RR Chart Reading'!AL26)</f>
        <v/>
      </c>
      <c r="T26" s="127" t="str">
        <f>IF('4 Hourly RR Chart Reading'!T26="","",'4 Hourly RR Chart Reading'!T26*'4 Hourly RR Chart Reading'!AM26)</f>
        <v/>
      </c>
      <c r="U26" s="128" t="str">
        <f>IF('4 Hourly RR Chart Reading'!U26="","",'4 Hourly RR Chart Reading'!U26*'4 Hourly RR Chart Reading'!AM26)</f>
        <v/>
      </c>
      <c r="V26" s="128" t="str">
        <f>IF('4 Hourly RR Chart Reading'!V26="","",'4 Hourly RR Chart Reading'!V26*'4 Hourly RR Chart Reading'!AM26)</f>
        <v/>
      </c>
      <c r="W26" s="128" t="str">
        <f>IF('4 Hourly RR Chart Reading'!W26="","",'4 Hourly RR Chart Reading'!W26*'4 Hourly RR Chart Reading'!AM26)</f>
        <v/>
      </c>
      <c r="X26" s="128" t="str">
        <f>IF('4 Hourly RR Chart Reading'!X26="","",'4 Hourly RR Chart Reading'!X26*'4 Hourly RR Chart Reading'!AM26)</f>
        <v/>
      </c>
      <c r="Y26" s="129" t="str">
        <f>IF('4 Hourly RR Chart Reading'!Y26="","",'4 Hourly RR Chart Reading'!Y26*'4 Hourly RR Chart Reading'!AM26)</f>
        <v/>
      </c>
      <c r="Z26" s="163" t="str">
        <f>IF('4 Hourly RR Chart Reading'!Z26="","",'4 Hourly RR Chart Reading'!Z26*'4 Hourly RR Chart Reading'!AN26)</f>
        <v/>
      </c>
      <c r="AA26" s="165" t="str">
        <f>IF('4 Hourly RR Chart Reading'!AA26="","",'4 Hourly RR Chart Reading'!AA26*'4 Hourly RR Chart Reading'!AN26)</f>
        <v/>
      </c>
      <c r="AB26" s="128" t="str">
        <f>IF('4 Hourly RR Chart Reading'!AB26="","",'4 Hourly RR Chart Reading'!AB26*'4 Hourly RR Chart Reading'!AN26)</f>
        <v/>
      </c>
      <c r="AC26" s="128" t="str">
        <f>IF('4 Hourly RR Chart Reading'!AC26="","",'4 Hourly RR Chart Reading'!AC26*'4 Hourly RR Chart Reading'!AN26)</f>
        <v/>
      </c>
      <c r="AD26" s="128" t="str">
        <f>IF('4 Hourly RR Chart Reading'!AD26="","",'4 Hourly RR Chart Reading'!AD26*'4 Hourly RR Chart Reading'!AN26)</f>
        <v/>
      </c>
      <c r="AE26" s="129" t="str">
        <f>IF('4 Hourly RR Chart Reading'!AE26="","",'4 Hourly RR Chart Reading'!AE26*'4 Hourly RR Chart Reading'!AN26)</f>
        <v/>
      </c>
      <c r="AF26" s="151"/>
      <c r="AG26" s="155" t="str">
        <f t="shared" si="0"/>
        <v/>
      </c>
      <c r="AH26" s="156" t="str">
        <f t="shared" si="1"/>
        <v/>
      </c>
      <c r="AI26" s="156" t="str">
        <f t="shared" si="2"/>
        <v/>
      </c>
      <c r="AJ26" s="157" t="str">
        <f t="shared" si="3"/>
        <v/>
      </c>
    </row>
    <row r="27" spans="1:36" ht="13.9" customHeight="1" x14ac:dyDescent="0.25">
      <c r="A27" s="72">
        <v>16</v>
      </c>
      <c r="B27" s="73" t="str">
        <f>IF('4 Hourly RR Chart Reading'!B27="","",'4 Hourly RR Chart Reading'!B27)</f>
        <v/>
      </c>
      <c r="C27" s="172">
        <f>IF('4 Hourly RR Chart Reading'!C27="","",'4 Hourly RR Chart Reading'!C27)</f>
        <v>0</v>
      </c>
      <c r="D27" s="173">
        <f>IF('4 Hourly RR Chart Reading'!D27="","",'4 Hourly RR Chart Reading'!D27)</f>
        <v>0</v>
      </c>
      <c r="E27" s="173">
        <f>IF('4 Hourly RR Chart Reading'!E27="","",'4 Hourly RR Chart Reading'!E27)</f>
        <v>0</v>
      </c>
      <c r="F27" s="174">
        <f>IF('4 Hourly RR Chart Reading'!F27="","",'4 Hourly RR Chart Reading'!F27)</f>
        <v>0</v>
      </c>
      <c r="G27" s="175">
        <f>IF('4 Hourly RR Chart Reading'!G27="","",'4 Hourly RR Chart Reading'!G27)</f>
        <v>0</v>
      </c>
      <c r="H27" s="163" t="str">
        <f>IF('4 Hourly RR Chart Reading'!H27="","",'4 Hourly RR Chart Reading'!H27*'4 Hourly RR Chart Reading'!AK27)</f>
        <v/>
      </c>
      <c r="I27" s="128" t="str">
        <f>IF('4 Hourly RR Chart Reading'!I27="","",'4 Hourly RR Chart Reading'!I27*'4 Hourly RR Chart Reading'!AK27)</f>
        <v/>
      </c>
      <c r="J27" s="128" t="str">
        <f>IF('4 Hourly RR Chart Reading'!J27="","",'4 Hourly RR Chart Reading'!J27*'4 Hourly RR Chart Reading'!AK27)</f>
        <v/>
      </c>
      <c r="K27" s="128" t="str">
        <f>IF('4 Hourly RR Chart Reading'!K27="","",'4 Hourly RR Chart Reading'!K27*'4 Hourly RR Chart Reading'!AK27)</f>
        <v/>
      </c>
      <c r="L27" s="128" t="str">
        <f>IF('4 Hourly RR Chart Reading'!L27="","",'4 Hourly RR Chart Reading'!L27*'4 Hourly RR Chart Reading'!AK27)</f>
        <v/>
      </c>
      <c r="M27" s="129" t="str">
        <f>IF('4 Hourly RR Chart Reading'!M27="","",'4 Hourly RR Chart Reading'!M27*'4 Hourly RR Chart Reading'!AK27)</f>
        <v/>
      </c>
      <c r="N27" s="163" t="str">
        <f>IF('4 Hourly RR Chart Reading'!N27="","",'4 Hourly RR Chart Reading'!N27*'4 Hourly RR Chart Reading'!AL27)</f>
        <v/>
      </c>
      <c r="O27" s="128" t="str">
        <f>IF('4 Hourly RR Chart Reading'!O27="","",'4 Hourly RR Chart Reading'!O27*'4 Hourly RR Chart Reading'!AL27)</f>
        <v/>
      </c>
      <c r="P27" s="128" t="str">
        <f>IF('4 Hourly RR Chart Reading'!P27="","",'4 Hourly RR Chart Reading'!P27*'4 Hourly RR Chart Reading'!AL27)</f>
        <v/>
      </c>
      <c r="Q27" s="128" t="str">
        <f>IF('4 Hourly RR Chart Reading'!Q27="","",'4 Hourly RR Chart Reading'!Q27*'4 Hourly RR Chart Reading'!AL27)</f>
        <v/>
      </c>
      <c r="R27" s="128" t="str">
        <f>IF('4 Hourly RR Chart Reading'!R27="","",'4 Hourly RR Chart Reading'!R27*'4 Hourly RR Chart Reading'!AL27)</f>
        <v/>
      </c>
      <c r="S27" s="164" t="str">
        <f>IF('4 Hourly RR Chart Reading'!S27="","",'4 Hourly RR Chart Reading'!S27*'4 Hourly RR Chart Reading'!AL27)</f>
        <v/>
      </c>
      <c r="T27" s="127" t="str">
        <f>IF('4 Hourly RR Chart Reading'!T27="","",'4 Hourly RR Chart Reading'!T27*'4 Hourly RR Chart Reading'!AM27)</f>
        <v/>
      </c>
      <c r="U27" s="128" t="str">
        <f>IF('4 Hourly RR Chart Reading'!U27="","",'4 Hourly RR Chart Reading'!U27*'4 Hourly RR Chart Reading'!AM27)</f>
        <v/>
      </c>
      <c r="V27" s="128" t="str">
        <f>IF('4 Hourly RR Chart Reading'!V27="","",'4 Hourly RR Chart Reading'!V27*'4 Hourly RR Chart Reading'!AM27)</f>
        <v/>
      </c>
      <c r="W27" s="128" t="str">
        <f>IF('4 Hourly RR Chart Reading'!W27="","",'4 Hourly RR Chart Reading'!W27*'4 Hourly RR Chart Reading'!AM27)</f>
        <v/>
      </c>
      <c r="X27" s="128" t="str">
        <f>IF('4 Hourly RR Chart Reading'!X27="","",'4 Hourly RR Chart Reading'!X27*'4 Hourly RR Chart Reading'!AM27)</f>
        <v/>
      </c>
      <c r="Y27" s="129" t="str">
        <f>IF('4 Hourly RR Chart Reading'!Y27="","",'4 Hourly RR Chart Reading'!Y27*'4 Hourly RR Chart Reading'!AM27)</f>
        <v/>
      </c>
      <c r="Z27" s="163" t="str">
        <f>IF('4 Hourly RR Chart Reading'!Z27="","",'4 Hourly RR Chart Reading'!Z27*'4 Hourly RR Chart Reading'!AN27)</f>
        <v/>
      </c>
      <c r="AA27" s="128" t="str">
        <f>IF('4 Hourly RR Chart Reading'!AA27="","",'4 Hourly RR Chart Reading'!AA27*'4 Hourly RR Chart Reading'!AN27)</f>
        <v/>
      </c>
      <c r="AB27" s="128" t="str">
        <f>IF('4 Hourly RR Chart Reading'!AB27="","",'4 Hourly RR Chart Reading'!AB27*'4 Hourly RR Chart Reading'!AN27)</f>
        <v/>
      </c>
      <c r="AC27" s="128" t="str">
        <f>IF('4 Hourly RR Chart Reading'!AC27="","",'4 Hourly RR Chart Reading'!AC27*'4 Hourly RR Chart Reading'!AN27)</f>
        <v/>
      </c>
      <c r="AD27" s="128" t="str">
        <f>IF('4 Hourly RR Chart Reading'!AD27="","",'4 Hourly RR Chart Reading'!AD27*'4 Hourly RR Chart Reading'!AN27)</f>
        <v/>
      </c>
      <c r="AE27" s="129" t="str">
        <f>IF('4 Hourly RR Chart Reading'!AE27="","",'4 Hourly RR Chart Reading'!AE27*'4 Hourly RR Chart Reading'!AN27)</f>
        <v/>
      </c>
      <c r="AF27" s="151"/>
      <c r="AG27" s="155" t="str">
        <f t="shared" si="0"/>
        <v/>
      </c>
      <c r="AH27" s="156" t="str">
        <f t="shared" si="1"/>
        <v/>
      </c>
      <c r="AI27" s="156" t="str">
        <f t="shared" si="2"/>
        <v/>
      </c>
      <c r="AJ27" s="157" t="str">
        <f t="shared" si="3"/>
        <v/>
      </c>
    </row>
    <row r="28" spans="1:36" ht="13.9" customHeight="1" x14ac:dyDescent="0.25">
      <c r="A28" s="72">
        <v>17</v>
      </c>
      <c r="B28" s="73" t="str">
        <f>IF('4 Hourly RR Chart Reading'!B28="","",'4 Hourly RR Chart Reading'!B28)</f>
        <v/>
      </c>
      <c r="C28" s="172">
        <f>IF('4 Hourly RR Chart Reading'!C28="","",'4 Hourly RR Chart Reading'!C28)</f>
        <v>0</v>
      </c>
      <c r="D28" s="173">
        <f>IF('4 Hourly RR Chart Reading'!D28="","",'4 Hourly RR Chart Reading'!D28)</f>
        <v>0</v>
      </c>
      <c r="E28" s="173">
        <f>IF('4 Hourly RR Chart Reading'!E28="","",'4 Hourly RR Chart Reading'!E28)</f>
        <v>0</v>
      </c>
      <c r="F28" s="174">
        <f>IF('4 Hourly RR Chart Reading'!F28="","",'4 Hourly RR Chart Reading'!F28)</f>
        <v>0</v>
      </c>
      <c r="G28" s="175">
        <f>IF('4 Hourly RR Chart Reading'!G28="","",'4 Hourly RR Chart Reading'!G28)</f>
        <v>0</v>
      </c>
      <c r="H28" s="163" t="str">
        <f>IF('4 Hourly RR Chart Reading'!H28="","",'4 Hourly RR Chart Reading'!H28*'4 Hourly RR Chart Reading'!AK28)</f>
        <v/>
      </c>
      <c r="I28" s="128" t="str">
        <f>IF('4 Hourly RR Chart Reading'!I28="","",'4 Hourly RR Chart Reading'!I28*'4 Hourly RR Chart Reading'!AK28)</f>
        <v/>
      </c>
      <c r="J28" s="128" t="str">
        <f>IF('4 Hourly RR Chart Reading'!J28="","",'4 Hourly RR Chart Reading'!J28*'4 Hourly RR Chart Reading'!AK28)</f>
        <v/>
      </c>
      <c r="K28" s="128" t="str">
        <f>IF('4 Hourly RR Chart Reading'!K28="","",'4 Hourly RR Chart Reading'!K28*'4 Hourly RR Chart Reading'!AK28)</f>
        <v/>
      </c>
      <c r="L28" s="128" t="str">
        <f>IF('4 Hourly RR Chart Reading'!L28="","",'4 Hourly RR Chart Reading'!L28*'4 Hourly RR Chart Reading'!AK28)</f>
        <v/>
      </c>
      <c r="M28" s="129" t="str">
        <f>IF('4 Hourly RR Chart Reading'!M28="","",'4 Hourly RR Chart Reading'!M28*'4 Hourly RR Chart Reading'!AK28)</f>
        <v/>
      </c>
      <c r="N28" s="163" t="str">
        <f>IF('4 Hourly RR Chart Reading'!N28="","",'4 Hourly RR Chart Reading'!N28*'4 Hourly RR Chart Reading'!AL28)</f>
        <v/>
      </c>
      <c r="O28" s="128" t="str">
        <f>IF('4 Hourly RR Chart Reading'!O28="","",'4 Hourly RR Chart Reading'!O28*'4 Hourly RR Chart Reading'!AL28)</f>
        <v/>
      </c>
      <c r="P28" s="128" t="str">
        <f>IF('4 Hourly RR Chart Reading'!P28="","",'4 Hourly RR Chart Reading'!P28*'4 Hourly RR Chart Reading'!AL28)</f>
        <v/>
      </c>
      <c r="Q28" s="128" t="str">
        <f>IF('4 Hourly RR Chart Reading'!Q28="","",'4 Hourly RR Chart Reading'!Q28*'4 Hourly RR Chart Reading'!AL28)</f>
        <v/>
      </c>
      <c r="R28" s="128" t="str">
        <f>IF('4 Hourly RR Chart Reading'!R28="","",'4 Hourly RR Chart Reading'!R28*'4 Hourly RR Chart Reading'!AL28)</f>
        <v/>
      </c>
      <c r="S28" s="164" t="str">
        <f>IF('4 Hourly RR Chart Reading'!S28="","",'4 Hourly RR Chart Reading'!S28*'4 Hourly RR Chart Reading'!AL28)</f>
        <v/>
      </c>
      <c r="T28" s="127" t="str">
        <f>IF('4 Hourly RR Chart Reading'!T28="","",'4 Hourly RR Chart Reading'!T28*'4 Hourly RR Chart Reading'!AM28)</f>
        <v/>
      </c>
      <c r="U28" s="128" t="str">
        <f>IF('4 Hourly RR Chart Reading'!U28="","",'4 Hourly RR Chart Reading'!U28*'4 Hourly RR Chart Reading'!AM28)</f>
        <v/>
      </c>
      <c r="V28" s="128" t="str">
        <f>IF('4 Hourly RR Chart Reading'!V28="","",'4 Hourly RR Chart Reading'!V28*'4 Hourly RR Chart Reading'!AM28)</f>
        <v/>
      </c>
      <c r="W28" s="128" t="str">
        <f>IF('4 Hourly RR Chart Reading'!W28="","",'4 Hourly RR Chart Reading'!W28*'4 Hourly RR Chart Reading'!AM28)</f>
        <v/>
      </c>
      <c r="X28" s="128" t="str">
        <f>IF('4 Hourly RR Chart Reading'!X28="","",'4 Hourly RR Chart Reading'!X28*'4 Hourly RR Chart Reading'!AM28)</f>
        <v/>
      </c>
      <c r="Y28" s="129" t="str">
        <f>IF('4 Hourly RR Chart Reading'!Y28="","",'4 Hourly RR Chart Reading'!Y28*'4 Hourly RR Chart Reading'!AM28)</f>
        <v/>
      </c>
      <c r="Z28" s="163" t="str">
        <f>IF('4 Hourly RR Chart Reading'!Z28="","",'4 Hourly RR Chart Reading'!Z28*'4 Hourly RR Chart Reading'!AN28)</f>
        <v/>
      </c>
      <c r="AA28" s="128" t="str">
        <f>IF('4 Hourly RR Chart Reading'!AA28="","",'4 Hourly RR Chart Reading'!AA28*'4 Hourly RR Chart Reading'!AN28)</f>
        <v/>
      </c>
      <c r="AB28" s="128" t="str">
        <f>IF('4 Hourly RR Chart Reading'!AB28="","",'4 Hourly RR Chart Reading'!AB28*'4 Hourly RR Chart Reading'!AN28)</f>
        <v/>
      </c>
      <c r="AC28" s="128" t="str">
        <f>IF('4 Hourly RR Chart Reading'!AC28="","",'4 Hourly RR Chart Reading'!AC28*'4 Hourly RR Chart Reading'!AN28)</f>
        <v/>
      </c>
      <c r="AD28" s="128" t="str">
        <f>IF('4 Hourly RR Chart Reading'!AD28="","",'4 Hourly RR Chart Reading'!AD28*'4 Hourly RR Chart Reading'!AN28)</f>
        <v/>
      </c>
      <c r="AE28" s="129" t="str">
        <f>IF('4 Hourly RR Chart Reading'!AE28="","",'4 Hourly RR Chart Reading'!AE28*'4 Hourly RR Chart Reading'!AN28)</f>
        <v/>
      </c>
      <c r="AF28" s="151"/>
      <c r="AG28" s="155" t="str">
        <f t="shared" si="0"/>
        <v/>
      </c>
      <c r="AH28" s="156" t="str">
        <f t="shared" si="1"/>
        <v/>
      </c>
      <c r="AI28" s="156" t="str">
        <f t="shared" si="2"/>
        <v/>
      </c>
      <c r="AJ28" s="157" t="str">
        <f t="shared" si="3"/>
        <v/>
      </c>
    </row>
    <row r="29" spans="1:36" ht="13.9" customHeight="1" x14ac:dyDescent="0.25">
      <c r="A29" s="72">
        <v>18</v>
      </c>
      <c r="B29" s="73" t="str">
        <f>IF('4 Hourly RR Chart Reading'!B29="","",'4 Hourly RR Chart Reading'!B29)</f>
        <v/>
      </c>
      <c r="C29" s="172">
        <f>IF('4 Hourly RR Chart Reading'!C29="","",'4 Hourly RR Chart Reading'!C29)</f>
        <v>0</v>
      </c>
      <c r="D29" s="173">
        <f>IF('4 Hourly RR Chart Reading'!D29="","",'4 Hourly RR Chart Reading'!D29)</f>
        <v>0</v>
      </c>
      <c r="E29" s="173">
        <f>IF('4 Hourly RR Chart Reading'!E29="","",'4 Hourly RR Chart Reading'!E29)</f>
        <v>0</v>
      </c>
      <c r="F29" s="174">
        <f>IF('4 Hourly RR Chart Reading'!F29="","",'4 Hourly RR Chart Reading'!F29)</f>
        <v>0</v>
      </c>
      <c r="G29" s="175">
        <f>IF('4 Hourly RR Chart Reading'!G29="","",'4 Hourly RR Chart Reading'!G29)</f>
        <v>0</v>
      </c>
      <c r="H29" s="163" t="str">
        <f>IF('4 Hourly RR Chart Reading'!H29="","",'4 Hourly RR Chart Reading'!H29*'4 Hourly RR Chart Reading'!AK29)</f>
        <v/>
      </c>
      <c r="I29" s="128" t="str">
        <f>IF('4 Hourly RR Chart Reading'!I29="","",'4 Hourly RR Chart Reading'!I29*'4 Hourly RR Chart Reading'!AK29)</f>
        <v/>
      </c>
      <c r="J29" s="128" t="str">
        <f>IF('4 Hourly RR Chart Reading'!J29="","",'4 Hourly RR Chart Reading'!J29*'4 Hourly RR Chart Reading'!AK29)</f>
        <v/>
      </c>
      <c r="K29" s="128" t="str">
        <f>IF('4 Hourly RR Chart Reading'!K29="","",'4 Hourly RR Chart Reading'!K29*'4 Hourly RR Chart Reading'!AK29)</f>
        <v/>
      </c>
      <c r="L29" s="128" t="str">
        <f>IF('4 Hourly RR Chart Reading'!L29="","",'4 Hourly RR Chart Reading'!L29*'4 Hourly RR Chart Reading'!AK29)</f>
        <v/>
      </c>
      <c r="M29" s="129" t="str">
        <f>IF('4 Hourly RR Chart Reading'!M29="","",'4 Hourly RR Chart Reading'!M29*'4 Hourly RR Chart Reading'!AK29)</f>
        <v/>
      </c>
      <c r="N29" s="163" t="str">
        <f>IF('4 Hourly RR Chart Reading'!N29="","",'4 Hourly RR Chart Reading'!N29*'4 Hourly RR Chart Reading'!AL29)</f>
        <v/>
      </c>
      <c r="O29" s="128" t="str">
        <f>IF('4 Hourly RR Chart Reading'!O29="","",'4 Hourly RR Chart Reading'!O29*'4 Hourly RR Chart Reading'!AL29)</f>
        <v/>
      </c>
      <c r="P29" s="128" t="str">
        <f>IF('4 Hourly RR Chart Reading'!P29="","",'4 Hourly RR Chart Reading'!P29*'4 Hourly RR Chart Reading'!AL29)</f>
        <v/>
      </c>
      <c r="Q29" s="128" t="str">
        <f>IF('4 Hourly RR Chart Reading'!Q29="","",'4 Hourly RR Chart Reading'!Q29*'4 Hourly RR Chart Reading'!AL29)</f>
        <v/>
      </c>
      <c r="R29" s="128" t="str">
        <f>IF('4 Hourly RR Chart Reading'!R29="","",'4 Hourly RR Chart Reading'!R29*'4 Hourly RR Chart Reading'!AL29)</f>
        <v/>
      </c>
      <c r="S29" s="164" t="str">
        <f>IF('4 Hourly RR Chart Reading'!S29="","",'4 Hourly RR Chart Reading'!S29*'4 Hourly RR Chart Reading'!AL29)</f>
        <v/>
      </c>
      <c r="T29" s="127" t="str">
        <f>IF('4 Hourly RR Chart Reading'!T29="","",'4 Hourly RR Chart Reading'!T29*'4 Hourly RR Chart Reading'!AM29)</f>
        <v/>
      </c>
      <c r="U29" s="128" t="str">
        <f>IF('4 Hourly RR Chart Reading'!U29="","",'4 Hourly RR Chart Reading'!U29*'4 Hourly RR Chart Reading'!AM29)</f>
        <v/>
      </c>
      <c r="V29" s="128" t="str">
        <f>IF('4 Hourly RR Chart Reading'!V29="","",'4 Hourly RR Chart Reading'!V29*'4 Hourly RR Chart Reading'!AM29)</f>
        <v/>
      </c>
      <c r="W29" s="128" t="str">
        <f>IF('4 Hourly RR Chart Reading'!W29="","",'4 Hourly RR Chart Reading'!W29*'4 Hourly RR Chart Reading'!AM29)</f>
        <v/>
      </c>
      <c r="X29" s="128" t="str">
        <f>IF('4 Hourly RR Chart Reading'!X29="","",'4 Hourly RR Chart Reading'!X29*'4 Hourly RR Chart Reading'!AM29)</f>
        <v/>
      </c>
      <c r="Y29" s="129" t="str">
        <f>IF('4 Hourly RR Chart Reading'!Y29="","",'4 Hourly RR Chart Reading'!Y29*'4 Hourly RR Chart Reading'!AM29)</f>
        <v/>
      </c>
      <c r="Z29" s="163" t="str">
        <f>IF('4 Hourly RR Chart Reading'!Z29="","",'4 Hourly RR Chart Reading'!Z29*'4 Hourly RR Chart Reading'!AN29)</f>
        <v/>
      </c>
      <c r="AA29" s="128" t="str">
        <f>IF('4 Hourly RR Chart Reading'!AA29="","",'4 Hourly RR Chart Reading'!AA29*'4 Hourly RR Chart Reading'!AN29)</f>
        <v/>
      </c>
      <c r="AB29" s="128" t="str">
        <f>IF('4 Hourly RR Chart Reading'!AB29="","",'4 Hourly RR Chart Reading'!AB29*'4 Hourly RR Chart Reading'!AN29)</f>
        <v/>
      </c>
      <c r="AC29" s="128" t="str">
        <f>IF('4 Hourly RR Chart Reading'!AC29="","",'4 Hourly RR Chart Reading'!AC29*'4 Hourly RR Chart Reading'!AN29)</f>
        <v/>
      </c>
      <c r="AD29" s="128" t="str">
        <f>IF('4 Hourly RR Chart Reading'!AD29="","",'4 Hourly RR Chart Reading'!AD29*'4 Hourly RR Chart Reading'!AN29)</f>
        <v/>
      </c>
      <c r="AE29" s="129" t="str">
        <f>IF('4 Hourly RR Chart Reading'!AE29="","",'4 Hourly RR Chart Reading'!AE29*'4 Hourly RR Chart Reading'!AN29)</f>
        <v/>
      </c>
      <c r="AF29" s="151"/>
      <c r="AG29" s="155" t="str">
        <f t="shared" si="0"/>
        <v/>
      </c>
      <c r="AH29" s="156" t="str">
        <f t="shared" si="1"/>
        <v/>
      </c>
      <c r="AI29" s="156" t="str">
        <f t="shared" si="2"/>
        <v/>
      </c>
      <c r="AJ29" s="157" t="str">
        <f t="shared" si="3"/>
        <v/>
      </c>
    </row>
    <row r="30" spans="1:36" ht="13.9" customHeight="1" x14ac:dyDescent="0.25">
      <c r="A30" s="72">
        <v>19</v>
      </c>
      <c r="B30" s="73" t="str">
        <f>IF('4 Hourly RR Chart Reading'!B30="","",'4 Hourly RR Chart Reading'!B30)</f>
        <v/>
      </c>
      <c r="C30" s="172">
        <f>IF('4 Hourly RR Chart Reading'!C30="","",'4 Hourly RR Chart Reading'!C30)</f>
        <v>0</v>
      </c>
      <c r="D30" s="173">
        <f>IF('4 Hourly RR Chart Reading'!D30="","",'4 Hourly RR Chart Reading'!D30)</f>
        <v>0</v>
      </c>
      <c r="E30" s="173">
        <f>IF('4 Hourly RR Chart Reading'!E30="","",'4 Hourly RR Chart Reading'!E30)</f>
        <v>0</v>
      </c>
      <c r="F30" s="174">
        <f>IF('4 Hourly RR Chart Reading'!F30="","",'4 Hourly RR Chart Reading'!F30)</f>
        <v>0</v>
      </c>
      <c r="G30" s="175">
        <f>IF('4 Hourly RR Chart Reading'!G30="","",'4 Hourly RR Chart Reading'!G30)</f>
        <v>0</v>
      </c>
      <c r="H30" s="163" t="str">
        <f>IF('4 Hourly RR Chart Reading'!H30="","",'4 Hourly RR Chart Reading'!H30*'4 Hourly RR Chart Reading'!AK30)</f>
        <v/>
      </c>
      <c r="I30" s="128" t="str">
        <f>IF('4 Hourly RR Chart Reading'!I30="","",'4 Hourly RR Chart Reading'!I30*'4 Hourly RR Chart Reading'!AK30)</f>
        <v/>
      </c>
      <c r="J30" s="128" t="str">
        <f>IF('4 Hourly RR Chart Reading'!J30="","",'4 Hourly RR Chart Reading'!J30*'4 Hourly RR Chart Reading'!AK30)</f>
        <v/>
      </c>
      <c r="K30" s="128" t="str">
        <f>IF('4 Hourly RR Chart Reading'!K30="","",'4 Hourly RR Chart Reading'!K30*'4 Hourly RR Chart Reading'!AK30)</f>
        <v/>
      </c>
      <c r="L30" s="128" t="str">
        <f>IF('4 Hourly RR Chart Reading'!L30="","",'4 Hourly RR Chart Reading'!L30*'4 Hourly RR Chart Reading'!AK30)</f>
        <v/>
      </c>
      <c r="M30" s="129" t="str">
        <f>IF('4 Hourly RR Chart Reading'!M30="","",'4 Hourly RR Chart Reading'!M30*'4 Hourly RR Chart Reading'!AK30)</f>
        <v/>
      </c>
      <c r="N30" s="163" t="str">
        <f>IF('4 Hourly RR Chart Reading'!N30="","",'4 Hourly RR Chart Reading'!N30*'4 Hourly RR Chart Reading'!AL30)</f>
        <v/>
      </c>
      <c r="O30" s="128" t="str">
        <f>IF('4 Hourly RR Chart Reading'!O30="","",'4 Hourly RR Chart Reading'!O30*'4 Hourly RR Chart Reading'!AL30)</f>
        <v/>
      </c>
      <c r="P30" s="128" t="str">
        <f>IF('4 Hourly RR Chart Reading'!P30="","",'4 Hourly RR Chart Reading'!P30*'4 Hourly RR Chart Reading'!AL30)</f>
        <v/>
      </c>
      <c r="Q30" s="128" t="str">
        <f>IF('4 Hourly RR Chart Reading'!Q30="","",'4 Hourly RR Chart Reading'!Q30*'4 Hourly RR Chart Reading'!AL30)</f>
        <v/>
      </c>
      <c r="R30" s="128" t="str">
        <f>IF('4 Hourly RR Chart Reading'!R30="","",'4 Hourly RR Chart Reading'!R30*'4 Hourly RR Chart Reading'!AL30)</f>
        <v/>
      </c>
      <c r="S30" s="164" t="str">
        <f>IF('4 Hourly RR Chart Reading'!S30="","",'4 Hourly RR Chart Reading'!S30*'4 Hourly RR Chart Reading'!AL30)</f>
        <v/>
      </c>
      <c r="T30" s="127" t="str">
        <f>IF('4 Hourly RR Chart Reading'!T30="","",'4 Hourly RR Chart Reading'!T30*'4 Hourly RR Chart Reading'!AM30)</f>
        <v/>
      </c>
      <c r="U30" s="128" t="str">
        <f>IF('4 Hourly RR Chart Reading'!U30="","",'4 Hourly RR Chart Reading'!U30*'4 Hourly RR Chart Reading'!AM30)</f>
        <v/>
      </c>
      <c r="V30" s="128" t="str">
        <f>IF('4 Hourly RR Chart Reading'!V30="","",'4 Hourly RR Chart Reading'!V30*'4 Hourly RR Chart Reading'!AM30)</f>
        <v/>
      </c>
      <c r="W30" s="128" t="str">
        <f>IF('4 Hourly RR Chart Reading'!W30="","",'4 Hourly RR Chart Reading'!W30*'4 Hourly RR Chart Reading'!AM30)</f>
        <v/>
      </c>
      <c r="X30" s="128" t="str">
        <f>IF('4 Hourly RR Chart Reading'!X30="","",'4 Hourly RR Chart Reading'!X30*'4 Hourly RR Chart Reading'!AM30)</f>
        <v/>
      </c>
      <c r="Y30" s="129" t="str">
        <f>IF('4 Hourly RR Chart Reading'!Y30="","",'4 Hourly RR Chart Reading'!Y30*'4 Hourly RR Chart Reading'!AM30)</f>
        <v/>
      </c>
      <c r="Z30" s="163" t="str">
        <f>IF('4 Hourly RR Chart Reading'!Z30="","",'4 Hourly RR Chart Reading'!Z30*'4 Hourly RR Chart Reading'!AN30)</f>
        <v/>
      </c>
      <c r="AA30" s="128" t="str">
        <f>IF('4 Hourly RR Chart Reading'!AA30="","",'4 Hourly RR Chart Reading'!AA30*'4 Hourly RR Chart Reading'!AN30)</f>
        <v/>
      </c>
      <c r="AB30" s="128" t="str">
        <f>IF('4 Hourly RR Chart Reading'!AB30="","",'4 Hourly RR Chart Reading'!AB30*'4 Hourly RR Chart Reading'!AN30)</f>
        <v/>
      </c>
      <c r="AC30" s="128" t="str">
        <f>IF('4 Hourly RR Chart Reading'!AC30="","",'4 Hourly RR Chart Reading'!AC30*'4 Hourly RR Chart Reading'!AN30)</f>
        <v/>
      </c>
      <c r="AD30" s="128" t="str">
        <f>IF('4 Hourly RR Chart Reading'!AD30="","",'4 Hourly RR Chart Reading'!AD30*'4 Hourly RR Chart Reading'!AN30)</f>
        <v/>
      </c>
      <c r="AE30" s="129" t="str">
        <f>IF('4 Hourly RR Chart Reading'!AE30="","",'4 Hourly RR Chart Reading'!AE30*'4 Hourly RR Chart Reading'!AN30)</f>
        <v/>
      </c>
      <c r="AF30" s="151"/>
      <c r="AG30" s="155" t="str">
        <f t="shared" si="0"/>
        <v/>
      </c>
      <c r="AH30" s="156" t="str">
        <f t="shared" si="1"/>
        <v/>
      </c>
      <c r="AI30" s="156" t="str">
        <f t="shared" si="2"/>
        <v/>
      </c>
      <c r="AJ30" s="157" t="str">
        <f t="shared" si="3"/>
        <v/>
      </c>
    </row>
    <row r="31" spans="1:36" ht="13.9" customHeight="1" x14ac:dyDescent="0.25">
      <c r="A31" s="72">
        <v>20</v>
      </c>
      <c r="B31" s="73" t="str">
        <f>IF('4 Hourly RR Chart Reading'!B31="","",'4 Hourly RR Chart Reading'!B31)</f>
        <v/>
      </c>
      <c r="C31" s="172">
        <f>IF('4 Hourly RR Chart Reading'!C31="","",'4 Hourly RR Chart Reading'!C31)</f>
        <v>0</v>
      </c>
      <c r="D31" s="173">
        <f>IF('4 Hourly RR Chart Reading'!D31="","",'4 Hourly RR Chart Reading'!D31)</f>
        <v>0</v>
      </c>
      <c r="E31" s="173">
        <f>IF('4 Hourly RR Chart Reading'!E31="","",'4 Hourly RR Chart Reading'!E31)</f>
        <v>0</v>
      </c>
      <c r="F31" s="174">
        <f>IF('4 Hourly RR Chart Reading'!F31="","",'4 Hourly RR Chart Reading'!F31)</f>
        <v>0</v>
      </c>
      <c r="G31" s="175">
        <f>IF('4 Hourly RR Chart Reading'!G31="","",'4 Hourly RR Chart Reading'!G31)</f>
        <v>0</v>
      </c>
      <c r="H31" s="163" t="str">
        <f>IF('4 Hourly RR Chart Reading'!H31="","",'4 Hourly RR Chart Reading'!H31*'4 Hourly RR Chart Reading'!AK31)</f>
        <v/>
      </c>
      <c r="I31" s="128" t="str">
        <f>IF('4 Hourly RR Chart Reading'!I31="","",'4 Hourly RR Chart Reading'!I31*'4 Hourly RR Chart Reading'!AK31)</f>
        <v/>
      </c>
      <c r="J31" s="128" t="str">
        <f>IF('4 Hourly RR Chart Reading'!J31="","",'4 Hourly RR Chart Reading'!J31*'4 Hourly RR Chart Reading'!AK31)</f>
        <v/>
      </c>
      <c r="K31" s="128" t="str">
        <f>IF('4 Hourly RR Chart Reading'!K31="","",'4 Hourly RR Chart Reading'!K31*'4 Hourly RR Chart Reading'!AK31)</f>
        <v/>
      </c>
      <c r="L31" s="128" t="str">
        <f>IF('4 Hourly RR Chart Reading'!L31="","",'4 Hourly RR Chart Reading'!L31*'4 Hourly RR Chart Reading'!AK31)</f>
        <v/>
      </c>
      <c r="M31" s="129" t="str">
        <f>IF('4 Hourly RR Chart Reading'!M31="","",'4 Hourly RR Chart Reading'!M31*'4 Hourly RR Chart Reading'!AK31)</f>
        <v/>
      </c>
      <c r="N31" s="163" t="str">
        <f>IF('4 Hourly RR Chart Reading'!N31="","",'4 Hourly RR Chart Reading'!N31*'4 Hourly RR Chart Reading'!AL31)</f>
        <v/>
      </c>
      <c r="O31" s="128" t="str">
        <f>IF('4 Hourly RR Chart Reading'!O31="","",'4 Hourly RR Chart Reading'!O31*'4 Hourly RR Chart Reading'!AL31)</f>
        <v/>
      </c>
      <c r="P31" s="128" t="str">
        <f>IF('4 Hourly RR Chart Reading'!P31="","",'4 Hourly RR Chart Reading'!P31*'4 Hourly RR Chart Reading'!AL31)</f>
        <v/>
      </c>
      <c r="Q31" s="128" t="str">
        <f>IF('4 Hourly RR Chart Reading'!Q31="","",'4 Hourly RR Chart Reading'!Q31*'4 Hourly RR Chart Reading'!AL31)</f>
        <v/>
      </c>
      <c r="R31" s="128" t="str">
        <f>IF('4 Hourly RR Chart Reading'!R31="","",'4 Hourly RR Chart Reading'!R31*'4 Hourly RR Chart Reading'!AL31)</f>
        <v/>
      </c>
      <c r="S31" s="164" t="str">
        <f>IF('4 Hourly RR Chart Reading'!S31="","",'4 Hourly RR Chart Reading'!S31*'4 Hourly RR Chart Reading'!AL31)</f>
        <v/>
      </c>
      <c r="T31" s="127" t="str">
        <f>IF('4 Hourly RR Chart Reading'!T31="","",'4 Hourly RR Chart Reading'!T31*'4 Hourly RR Chart Reading'!AM31)</f>
        <v/>
      </c>
      <c r="U31" s="128" t="str">
        <f>IF('4 Hourly RR Chart Reading'!U31="","",'4 Hourly RR Chart Reading'!U31*'4 Hourly RR Chart Reading'!AM31)</f>
        <v/>
      </c>
      <c r="V31" s="128" t="str">
        <f>IF('4 Hourly RR Chart Reading'!V31="","",'4 Hourly RR Chart Reading'!V31*'4 Hourly RR Chart Reading'!AM31)</f>
        <v/>
      </c>
      <c r="W31" s="128" t="str">
        <f>IF('4 Hourly RR Chart Reading'!W31="","",'4 Hourly RR Chart Reading'!W31*'4 Hourly RR Chart Reading'!AM31)</f>
        <v/>
      </c>
      <c r="X31" s="128" t="str">
        <f>IF('4 Hourly RR Chart Reading'!X31="","",'4 Hourly RR Chart Reading'!X31*'4 Hourly RR Chart Reading'!AM31)</f>
        <v/>
      </c>
      <c r="Y31" s="129" t="str">
        <f>IF('4 Hourly RR Chart Reading'!Y31="","",'4 Hourly RR Chart Reading'!Y31*'4 Hourly RR Chart Reading'!AM31)</f>
        <v/>
      </c>
      <c r="Z31" s="163" t="str">
        <f>IF('4 Hourly RR Chart Reading'!Z31="","",'4 Hourly RR Chart Reading'!Z31*'4 Hourly RR Chart Reading'!AN31)</f>
        <v/>
      </c>
      <c r="AA31" s="128" t="str">
        <f>IF('4 Hourly RR Chart Reading'!AA31="","",'4 Hourly RR Chart Reading'!AA31*'4 Hourly RR Chart Reading'!AN31)</f>
        <v/>
      </c>
      <c r="AB31" s="128" t="str">
        <f>IF('4 Hourly RR Chart Reading'!AB31="","",'4 Hourly RR Chart Reading'!AB31*'4 Hourly RR Chart Reading'!AN31)</f>
        <v/>
      </c>
      <c r="AC31" s="128" t="str">
        <f>IF('4 Hourly RR Chart Reading'!AC31="","",'4 Hourly RR Chart Reading'!AC31*'4 Hourly RR Chart Reading'!AN31)</f>
        <v/>
      </c>
      <c r="AD31" s="128" t="str">
        <f>IF('4 Hourly RR Chart Reading'!AD31="","",'4 Hourly RR Chart Reading'!AD31*'4 Hourly RR Chart Reading'!AN31)</f>
        <v/>
      </c>
      <c r="AE31" s="129" t="str">
        <f>IF('4 Hourly RR Chart Reading'!AE31="","",'4 Hourly RR Chart Reading'!AE31*'4 Hourly RR Chart Reading'!AN31)</f>
        <v/>
      </c>
      <c r="AF31" s="151"/>
      <c r="AG31" s="155" t="str">
        <f t="shared" si="0"/>
        <v/>
      </c>
      <c r="AH31" s="156" t="str">
        <f t="shared" si="1"/>
        <v/>
      </c>
      <c r="AI31" s="156" t="str">
        <f t="shared" si="2"/>
        <v/>
      </c>
      <c r="AJ31" s="157" t="str">
        <f t="shared" si="3"/>
        <v/>
      </c>
    </row>
    <row r="32" spans="1:36" ht="13.9" customHeight="1" x14ac:dyDescent="0.25">
      <c r="A32" s="72">
        <v>21</v>
      </c>
      <c r="B32" s="73" t="str">
        <f>IF('4 Hourly RR Chart Reading'!B32="","",'4 Hourly RR Chart Reading'!B32)</f>
        <v/>
      </c>
      <c r="C32" s="172">
        <f>IF('4 Hourly RR Chart Reading'!C32="","",'4 Hourly RR Chart Reading'!C32)</f>
        <v>0</v>
      </c>
      <c r="D32" s="173">
        <f>IF('4 Hourly RR Chart Reading'!D32="","",'4 Hourly RR Chart Reading'!D32)</f>
        <v>0</v>
      </c>
      <c r="E32" s="173">
        <f>IF('4 Hourly RR Chart Reading'!E32="","",'4 Hourly RR Chart Reading'!E32)</f>
        <v>0</v>
      </c>
      <c r="F32" s="174">
        <f>IF('4 Hourly RR Chart Reading'!F32="","",'4 Hourly RR Chart Reading'!F32)</f>
        <v>0</v>
      </c>
      <c r="G32" s="175">
        <f>IF('4 Hourly RR Chart Reading'!G32="","",'4 Hourly RR Chart Reading'!G32)</f>
        <v>0</v>
      </c>
      <c r="H32" s="163" t="str">
        <f>IF('4 Hourly RR Chart Reading'!H32="","",'4 Hourly RR Chart Reading'!H32*'4 Hourly RR Chart Reading'!AK32)</f>
        <v/>
      </c>
      <c r="I32" s="128" t="str">
        <f>IF('4 Hourly RR Chart Reading'!I32="","",'4 Hourly RR Chart Reading'!I32*'4 Hourly RR Chart Reading'!AK32)</f>
        <v/>
      </c>
      <c r="J32" s="128" t="str">
        <f>IF('4 Hourly RR Chart Reading'!J32="","",'4 Hourly RR Chart Reading'!J32*'4 Hourly RR Chart Reading'!AK32)</f>
        <v/>
      </c>
      <c r="K32" s="128" t="str">
        <f>IF('4 Hourly RR Chart Reading'!K32="","",'4 Hourly RR Chart Reading'!K32*'4 Hourly RR Chart Reading'!AK32)</f>
        <v/>
      </c>
      <c r="L32" s="128" t="str">
        <f>IF('4 Hourly RR Chart Reading'!L32="","",'4 Hourly RR Chart Reading'!L32*'4 Hourly RR Chart Reading'!AK32)</f>
        <v/>
      </c>
      <c r="M32" s="129" t="str">
        <f>IF('4 Hourly RR Chart Reading'!M32="","",'4 Hourly RR Chart Reading'!M32*'4 Hourly RR Chart Reading'!AK32)</f>
        <v/>
      </c>
      <c r="N32" s="163" t="str">
        <f>IF('4 Hourly RR Chart Reading'!N32="","",'4 Hourly RR Chart Reading'!N32*'4 Hourly RR Chart Reading'!AL32)</f>
        <v/>
      </c>
      <c r="O32" s="128" t="str">
        <f>IF('4 Hourly RR Chart Reading'!O32="","",'4 Hourly RR Chart Reading'!O32*'4 Hourly RR Chart Reading'!AL32)</f>
        <v/>
      </c>
      <c r="P32" s="128" t="str">
        <f>IF('4 Hourly RR Chart Reading'!P32="","",'4 Hourly RR Chart Reading'!P32*'4 Hourly RR Chart Reading'!AL32)</f>
        <v/>
      </c>
      <c r="Q32" s="128" t="str">
        <f>IF('4 Hourly RR Chart Reading'!Q32="","",'4 Hourly RR Chart Reading'!Q32*'4 Hourly RR Chart Reading'!AL32)</f>
        <v/>
      </c>
      <c r="R32" s="128" t="str">
        <f>IF('4 Hourly RR Chart Reading'!R32="","",'4 Hourly RR Chart Reading'!R32*'4 Hourly RR Chart Reading'!AL32)</f>
        <v/>
      </c>
      <c r="S32" s="164" t="str">
        <f>IF('4 Hourly RR Chart Reading'!S32="","",'4 Hourly RR Chart Reading'!S32*'4 Hourly RR Chart Reading'!AL32)</f>
        <v/>
      </c>
      <c r="T32" s="127" t="str">
        <f>IF('4 Hourly RR Chart Reading'!T32="","",'4 Hourly RR Chart Reading'!T32*'4 Hourly RR Chart Reading'!AM32)</f>
        <v/>
      </c>
      <c r="U32" s="128" t="str">
        <f>IF('4 Hourly RR Chart Reading'!U32="","",'4 Hourly RR Chart Reading'!U32*'4 Hourly RR Chart Reading'!AM32)</f>
        <v/>
      </c>
      <c r="V32" s="128" t="str">
        <f>IF('4 Hourly RR Chart Reading'!V32="","",'4 Hourly RR Chart Reading'!V32*'4 Hourly RR Chart Reading'!AM32)</f>
        <v/>
      </c>
      <c r="W32" s="128" t="str">
        <f>IF('4 Hourly RR Chart Reading'!W32="","",'4 Hourly RR Chart Reading'!W32*'4 Hourly RR Chart Reading'!AM32)</f>
        <v/>
      </c>
      <c r="X32" s="128" t="str">
        <f>IF('4 Hourly RR Chart Reading'!X32="","",'4 Hourly RR Chart Reading'!X32*'4 Hourly RR Chart Reading'!AM32)</f>
        <v/>
      </c>
      <c r="Y32" s="129" t="str">
        <f>IF('4 Hourly RR Chart Reading'!Y32="","",'4 Hourly RR Chart Reading'!Y32*'4 Hourly RR Chart Reading'!AM32)</f>
        <v/>
      </c>
      <c r="Z32" s="163" t="str">
        <f>IF('4 Hourly RR Chart Reading'!Z32="","",'4 Hourly RR Chart Reading'!Z32*'4 Hourly RR Chart Reading'!AN32)</f>
        <v/>
      </c>
      <c r="AA32" s="128" t="str">
        <f>IF('4 Hourly RR Chart Reading'!AA32="","",'4 Hourly RR Chart Reading'!AA32*'4 Hourly RR Chart Reading'!AN32)</f>
        <v/>
      </c>
      <c r="AB32" s="128" t="str">
        <f>IF('4 Hourly RR Chart Reading'!AB32="","",'4 Hourly RR Chart Reading'!AB32*'4 Hourly RR Chart Reading'!AN32)</f>
        <v/>
      </c>
      <c r="AC32" s="128" t="str">
        <f>IF('4 Hourly RR Chart Reading'!AC32="","",'4 Hourly RR Chart Reading'!AC32*'4 Hourly RR Chart Reading'!AN32)</f>
        <v/>
      </c>
      <c r="AD32" s="128" t="str">
        <f>IF('4 Hourly RR Chart Reading'!AD32="","",'4 Hourly RR Chart Reading'!AD32*'4 Hourly RR Chart Reading'!AN32)</f>
        <v/>
      </c>
      <c r="AE32" s="129" t="str">
        <f>IF('4 Hourly RR Chart Reading'!AE32="","",'4 Hourly RR Chart Reading'!AE32*'4 Hourly RR Chart Reading'!AN32)</f>
        <v/>
      </c>
      <c r="AF32" s="151"/>
      <c r="AG32" s="155" t="str">
        <f t="shared" si="0"/>
        <v/>
      </c>
      <c r="AH32" s="156" t="str">
        <f t="shared" si="1"/>
        <v/>
      </c>
      <c r="AI32" s="156" t="str">
        <f t="shared" si="2"/>
        <v/>
      </c>
      <c r="AJ32" s="157" t="str">
        <f t="shared" si="3"/>
        <v/>
      </c>
    </row>
    <row r="33" spans="1:36" ht="13.9" customHeight="1" x14ac:dyDescent="0.25">
      <c r="A33" s="72">
        <v>22</v>
      </c>
      <c r="B33" s="73" t="str">
        <f>IF('4 Hourly RR Chart Reading'!B33="","",'4 Hourly RR Chart Reading'!B33)</f>
        <v/>
      </c>
      <c r="C33" s="172">
        <f>IF('4 Hourly RR Chart Reading'!C33="","",'4 Hourly RR Chart Reading'!C33)</f>
        <v>0</v>
      </c>
      <c r="D33" s="173">
        <f>IF('4 Hourly RR Chart Reading'!D33="","",'4 Hourly RR Chart Reading'!D33)</f>
        <v>0</v>
      </c>
      <c r="E33" s="173">
        <f>IF('4 Hourly RR Chart Reading'!E33="","",'4 Hourly RR Chart Reading'!E33)</f>
        <v>0</v>
      </c>
      <c r="F33" s="174">
        <f>IF('4 Hourly RR Chart Reading'!F33="","",'4 Hourly RR Chart Reading'!F33)</f>
        <v>0</v>
      </c>
      <c r="G33" s="175">
        <f>IF('4 Hourly RR Chart Reading'!G33="","",'4 Hourly RR Chart Reading'!G33)</f>
        <v>0</v>
      </c>
      <c r="H33" s="163" t="str">
        <f>IF('4 Hourly RR Chart Reading'!H33="","",'4 Hourly RR Chart Reading'!H33*'4 Hourly RR Chart Reading'!AK33)</f>
        <v/>
      </c>
      <c r="I33" s="128" t="str">
        <f>IF('4 Hourly RR Chart Reading'!I33="","",'4 Hourly RR Chart Reading'!I33*'4 Hourly RR Chart Reading'!AK33)</f>
        <v/>
      </c>
      <c r="J33" s="128" t="str">
        <f>IF('4 Hourly RR Chart Reading'!J33="","",'4 Hourly RR Chart Reading'!J33*'4 Hourly RR Chart Reading'!AK33)</f>
        <v/>
      </c>
      <c r="K33" s="128" t="str">
        <f>IF('4 Hourly RR Chart Reading'!K33="","",'4 Hourly RR Chart Reading'!K33*'4 Hourly RR Chart Reading'!AK33)</f>
        <v/>
      </c>
      <c r="L33" s="128" t="str">
        <f>IF('4 Hourly RR Chart Reading'!L33="","",'4 Hourly RR Chart Reading'!L33*'4 Hourly RR Chart Reading'!AK33)</f>
        <v/>
      </c>
      <c r="M33" s="129" t="str">
        <f>IF('4 Hourly RR Chart Reading'!M33="","",'4 Hourly RR Chart Reading'!M33*'4 Hourly RR Chart Reading'!AK33)</f>
        <v/>
      </c>
      <c r="N33" s="163" t="str">
        <f>IF('4 Hourly RR Chart Reading'!N33="","",'4 Hourly RR Chart Reading'!N33*'4 Hourly RR Chart Reading'!AL33)</f>
        <v/>
      </c>
      <c r="O33" s="128" t="str">
        <f>IF('4 Hourly RR Chart Reading'!O33="","",'4 Hourly RR Chart Reading'!O33*'4 Hourly RR Chart Reading'!AL33)</f>
        <v/>
      </c>
      <c r="P33" s="128" t="str">
        <f>IF('4 Hourly RR Chart Reading'!P33="","",'4 Hourly RR Chart Reading'!P33*'4 Hourly RR Chart Reading'!AL33)</f>
        <v/>
      </c>
      <c r="Q33" s="128" t="str">
        <f>IF('4 Hourly RR Chart Reading'!Q33="","",'4 Hourly RR Chart Reading'!Q33*'4 Hourly RR Chart Reading'!AL33)</f>
        <v/>
      </c>
      <c r="R33" s="128" t="str">
        <f>IF('4 Hourly RR Chart Reading'!R33="","",'4 Hourly RR Chart Reading'!R33*'4 Hourly RR Chart Reading'!AL33)</f>
        <v/>
      </c>
      <c r="S33" s="164" t="str">
        <f>IF('4 Hourly RR Chart Reading'!S33="","",'4 Hourly RR Chart Reading'!S33*'4 Hourly RR Chart Reading'!AL33)</f>
        <v/>
      </c>
      <c r="T33" s="127" t="str">
        <f>IF('4 Hourly RR Chart Reading'!T33="","",'4 Hourly RR Chart Reading'!T33*'4 Hourly RR Chart Reading'!AM33)</f>
        <v/>
      </c>
      <c r="U33" s="128" t="str">
        <f>IF('4 Hourly RR Chart Reading'!U33="","",'4 Hourly RR Chart Reading'!U33*'4 Hourly RR Chart Reading'!AM33)</f>
        <v/>
      </c>
      <c r="V33" s="128" t="str">
        <f>IF('4 Hourly RR Chart Reading'!V33="","",'4 Hourly RR Chart Reading'!V33*'4 Hourly RR Chart Reading'!AM33)</f>
        <v/>
      </c>
      <c r="W33" s="128" t="str">
        <f>IF('4 Hourly RR Chart Reading'!W33="","",'4 Hourly RR Chart Reading'!W33*'4 Hourly RR Chart Reading'!AM33)</f>
        <v/>
      </c>
      <c r="X33" s="128" t="str">
        <f>IF('4 Hourly RR Chart Reading'!X33="","",'4 Hourly RR Chart Reading'!X33*'4 Hourly RR Chart Reading'!AM33)</f>
        <v/>
      </c>
      <c r="Y33" s="129" t="str">
        <f>IF('4 Hourly RR Chart Reading'!Y33="","",'4 Hourly RR Chart Reading'!Y33*'4 Hourly RR Chart Reading'!AM33)</f>
        <v/>
      </c>
      <c r="Z33" s="163" t="str">
        <f>IF('4 Hourly RR Chart Reading'!Z33="","",'4 Hourly RR Chart Reading'!Z33*'4 Hourly RR Chart Reading'!AN33)</f>
        <v/>
      </c>
      <c r="AA33" s="128" t="str">
        <f>IF('4 Hourly RR Chart Reading'!AA33="","",'4 Hourly RR Chart Reading'!AA33*'4 Hourly RR Chart Reading'!AN33)</f>
        <v/>
      </c>
      <c r="AB33" s="128" t="str">
        <f>IF('4 Hourly RR Chart Reading'!AB33="","",'4 Hourly RR Chart Reading'!AB33*'4 Hourly RR Chart Reading'!AN33)</f>
        <v/>
      </c>
      <c r="AC33" s="128" t="str">
        <f>IF('4 Hourly RR Chart Reading'!AC33="","",'4 Hourly RR Chart Reading'!AC33*'4 Hourly RR Chart Reading'!AN33)</f>
        <v/>
      </c>
      <c r="AD33" s="128" t="str">
        <f>IF('4 Hourly RR Chart Reading'!AD33="","",'4 Hourly RR Chart Reading'!AD33*'4 Hourly RR Chart Reading'!AN33)</f>
        <v/>
      </c>
      <c r="AE33" s="129" t="str">
        <f>IF('4 Hourly RR Chart Reading'!AE33="","",'4 Hourly RR Chart Reading'!AE33*'4 Hourly RR Chart Reading'!AN33)</f>
        <v/>
      </c>
      <c r="AF33" s="151"/>
      <c r="AG33" s="155" t="str">
        <f t="shared" si="0"/>
        <v/>
      </c>
      <c r="AH33" s="156" t="str">
        <f t="shared" si="1"/>
        <v/>
      </c>
      <c r="AI33" s="156" t="str">
        <f t="shared" si="2"/>
        <v/>
      </c>
      <c r="AJ33" s="157" t="str">
        <f t="shared" si="3"/>
        <v/>
      </c>
    </row>
    <row r="34" spans="1:36" ht="13.9" customHeight="1" x14ac:dyDescent="0.25">
      <c r="A34" s="72">
        <v>23</v>
      </c>
      <c r="B34" s="73" t="str">
        <f>IF('4 Hourly RR Chart Reading'!B34="","",'4 Hourly RR Chart Reading'!B34)</f>
        <v/>
      </c>
      <c r="C34" s="172">
        <f>IF('4 Hourly RR Chart Reading'!C34="","",'4 Hourly RR Chart Reading'!C34)</f>
        <v>0</v>
      </c>
      <c r="D34" s="173">
        <f>IF('4 Hourly RR Chart Reading'!D34="","",'4 Hourly RR Chart Reading'!D34)</f>
        <v>0</v>
      </c>
      <c r="E34" s="173">
        <f>IF('4 Hourly RR Chart Reading'!E34="","",'4 Hourly RR Chart Reading'!E34)</f>
        <v>0</v>
      </c>
      <c r="F34" s="174">
        <f>IF('4 Hourly RR Chart Reading'!F34="","",'4 Hourly RR Chart Reading'!F34)</f>
        <v>0</v>
      </c>
      <c r="G34" s="175">
        <f>IF('4 Hourly RR Chart Reading'!G34="","",'4 Hourly RR Chart Reading'!G34)</f>
        <v>0</v>
      </c>
      <c r="H34" s="163" t="str">
        <f>IF('4 Hourly RR Chart Reading'!H34="","",'4 Hourly RR Chart Reading'!H34*'4 Hourly RR Chart Reading'!AK34)</f>
        <v/>
      </c>
      <c r="I34" s="128" t="str">
        <f>IF('4 Hourly RR Chart Reading'!I34="","",'4 Hourly RR Chart Reading'!I34*'4 Hourly RR Chart Reading'!AK34)</f>
        <v/>
      </c>
      <c r="J34" s="128" t="str">
        <f>IF('4 Hourly RR Chart Reading'!J34="","",'4 Hourly RR Chart Reading'!J34*'4 Hourly RR Chart Reading'!AK34)</f>
        <v/>
      </c>
      <c r="K34" s="128" t="str">
        <f>IF('4 Hourly RR Chart Reading'!K34="","",'4 Hourly RR Chart Reading'!K34*'4 Hourly RR Chart Reading'!AK34)</f>
        <v/>
      </c>
      <c r="L34" s="128" t="str">
        <f>IF('4 Hourly RR Chart Reading'!L34="","",'4 Hourly RR Chart Reading'!L34*'4 Hourly RR Chart Reading'!AK34)</f>
        <v/>
      </c>
      <c r="M34" s="129" t="str">
        <f>IF('4 Hourly RR Chart Reading'!M34="","",'4 Hourly RR Chart Reading'!M34*'4 Hourly RR Chart Reading'!AK34)</f>
        <v/>
      </c>
      <c r="N34" s="163" t="str">
        <f>IF('4 Hourly RR Chart Reading'!N34="","",'4 Hourly RR Chart Reading'!N34*'4 Hourly RR Chart Reading'!AL34)</f>
        <v/>
      </c>
      <c r="O34" s="128" t="str">
        <f>IF('4 Hourly RR Chart Reading'!O34="","",'4 Hourly RR Chart Reading'!O34*'4 Hourly RR Chart Reading'!AL34)</f>
        <v/>
      </c>
      <c r="P34" s="128" t="str">
        <f>IF('4 Hourly RR Chart Reading'!P34="","",'4 Hourly RR Chart Reading'!P34*'4 Hourly RR Chart Reading'!AL34)</f>
        <v/>
      </c>
      <c r="Q34" s="128" t="str">
        <f>IF('4 Hourly RR Chart Reading'!Q34="","",'4 Hourly RR Chart Reading'!Q34*'4 Hourly RR Chart Reading'!AL34)</f>
        <v/>
      </c>
      <c r="R34" s="128" t="str">
        <f>IF('4 Hourly RR Chart Reading'!R34="","",'4 Hourly RR Chart Reading'!R34*'4 Hourly RR Chart Reading'!AL34)</f>
        <v/>
      </c>
      <c r="S34" s="164" t="str">
        <f>IF('4 Hourly RR Chart Reading'!S34="","",'4 Hourly RR Chart Reading'!S34*'4 Hourly RR Chart Reading'!AL34)</f>
        <v/>
      </c>
      <c r="T34" s="127" t="str">
        <f>IF('4 Hourly RR Chart Reading'!T34="","",'4 Hourly RR Chart Reading'!T34*'4 Hourly RR Chart Reading'!AM34)</f>
        <v/>
      </c>
      <c r="U34" s="128" t="str">
        <f>IF('4 Hourly RR Chart Reading'!U34="","",'4 Hourly RR Chart Reading'!U34*'4 Hourly RR Chart Reading'!AM34)</f>
        <v/>
      </c>
      <c r="V34" s="128" t="str">
        <f>IF('4 Hourly RR Chart Reading'!V34="","",'4 Hourly RR Chart Reading'!V34*'4 Hourly RR Chart Reading'!AM34)</f>
        <v/>
      </c>
      <c r="W34" s="128" t="str">
        <f>IF('4 Hourly RR Chart Reading'!W34="","",'4 Hourly RR Chart Reading'!W34*'4 Hourly RR Chart Reading'!AM34)</f>
        <v/>
      </c>
      <c r="X34" s="128" t="str">
        <f>IF('4 Hourly RR Chart Reading'!X34="","",'4 Hourly RR Chart Reading'!X34*'4 Hourly RR Chart Reading'!AM34)</f>
        <v/>
      </c>
      <c r="Y34" s="129" t="str">
        <f>IF('4 Hourly RR Chart Reading'!Y34="","",'4 Hourly RR Chart Reading'!Y34*'4 Hourly RR Chart Reading'!AM34)</f>
        <v/>
      </c>
      <c r="Z34" s="163" t="str">
        <f>IF('4 Hourly RR Chart Reading'!Z34="","",'4 Hourly RR Chart Reading'!Z34*'4 Hourly RR Chart Reading'!AN34)</f>
        <v/>
      </c>
      <c r="AA34" s="128" t="str">
        <f>IF('4 Hourly RR Chart Reading'!AA34="","",'4 Hourly RR Chart Reading'!AA34*'4 Hourly RR Chart Reading'!AN34)</f>
        <v/>
      </c>
      <c r="AB34" s="128" t="str">
        <f>IF('4 Hourly RR Chart Reading'!AB34="","",'4 Hourly RR Chart Reading'!AB34*'4 Hourly RR Chart Reading'!AN34)</f>
        <v/>
      </c>
      <c r="AC34" s="128" t="str">
        <f>IF('4 Hourly RR Chart Reading'!AC34="","",'4 Hourly RR Chart Reading'!AC34*'4 Hourly RR Chart Reading'!AN34)</f>
        <v/>
      </c>
      <c r="AD34" s="128" t="str">
        <f>IF('4 Hourly RR Chart Reading'!AD34="","",'4 Hourly RR Chart Reading'!AD34*'4 Hourly RR Chart Reading'!AN34)</f>
        <v/>
      </c>
      <c r="AE34" s="129" t="str">
        <f>IF('4 Hourly RR Chart Reading'!AE34="","",'4 Hourly RR Chart Reading'!AE34*'4 Hourly RR Chart Reading'!AN34)</f>
        <v/>
      </c>
      <c r="AF34" s="151"/>
      <c r="AG34" s="155" t="str">
        <f t="shared" si="0"/>
        <v/>
      </c>
      <c r="AH34" s="156" t="str">
        <f t="shared" si="1"/>
        <v/>
      </c>
      <c r="AI34" s="156" t="str">
        <f t="shared" si="2"/>
        <v/>
      </c>
      <c r="AJ34" s="157" t="str">
        <f t="shared" si="3"/>
        <v/>
      </c>
    </row>
    <row r="35" spans="1:36" ht="13.9" customHeight="1" x14ac:dyDescent="0.25">
      <c r="A35" s="72">
        <v>24</v>
      </c>
      <c r="B35" s="73" t="str">
        <f>IF('4 Hourly RR Chart Reading'!B35="","",'4 Hourly RR Chart Reading'!B35)</f>
        <v/>
      </c>
      <c r="C35" s="172">
        <f>IF('4 Hourly RR Chart Reading'!C35="","",'4 Hourly RR Chart Reading'!C35)</f>
        <v>0</v>
      </c>
      <c r="D35" s="173">
        <f>IF('4 Hourly RR Chart Reading'!D35="","",'4 Hourly RR Chart Reading'!D35)</f>
        <v>0</v>
      </c>
      <c r="E35" s="173">
        <f>IF('4 Hourly RR Chart Reading'!E35="","",'4 Hourly RR Chart Reading'!E35)</f>
        <v>0</v>
      </c>
      <c r="F35" s="174">
        <f>IF('4 Hourly RR Chart Reading'!F35="","",'4 Hourly RR Chart Reading'!F35)</f>
        <v>0</v>
      </c>
      <c r="G35" s="175">
        <f>IF('4 Hourly RR Chart Reading'!G35="","",'4 Hourly RR Chart Reading'!G35)</f>
        <v>0</v>
      </c>
      <c r="H35" s="163" t="str">
        <f>IF('4 Hourly RR Chart Reading'!H35="","",'4 Hourly RR Chart Reading'!H35*'4 Hourly RR Chart Reading'!AK35)</f>
        <v/>
      </c>
      <c r="I35" s="128" t="str">
        <f>IF('4 Hourly RR Chart Reading'!I35="","",'4 Hourly RR Chart Reading'!I35*'4 Hourly RR Chart Reading'!AK35)</f>
        <v/>
      </c>
      <c r="J35" s="128" t="str">
        <f>IF('4 Hourly RR Chart Reading'!J35="","",'4 Hourly RR Chart Reading'!J35*'4 Hourly RR Chart Reading'!AK35)</f>
        <v/>
      </c>
      <c r="K35" s="128" t="str">
        <f>IF('4 Hourly RR Chart Reading'!K35="","",'4 Hourly RR Chart Reading'!K35*'4 Hourly RR Chart Reading'!AK35)</f>
        <v/>
      </c>
      <c r="L35" s="128" t="str">
        <f>IF('4 Hourly RR Chart Reading'!L35="","",'4 Hourly RR Chart Reading'!L35*'4 Hourly RR Chart Reading'!AK35)</f>
        <v/>
      </c>
      <c r="M35" s="129" t="str">
        <f>IF('4 Hourly RR Chart Reading'!M35="","",'4 Hourly RR Chart Reading'!M35*'4 Hourly RR Chart Reading'!AK35)</f>
        <v/>
      </c>
      <c r="N35" s="163" t="str">
        <f>IF('4 Hourly RR Chart Reading'!N35="","",'4 Hourly RR Chart Reading'!N35*'4 Hourly RR Chart Reading'!AL35)</f>
        <v/>
      </c>
      <c r="O35" s="128" t="str">
        <f>IF('4 Hourly RR Chart Reading'!O35="","",'4 Hourly RR Chart Reading'!O35*'4 Hourly RR Chart Reading'!AL35)</f>
        <v/>
      </c>
      <c r="P35" s="128" t="str">
        <f>IF('4 Hourly RR Chart Reading'!P35="","",'4 Hourly RR Chart Reading'!P35*'4 Hourly RR Chart Reading'!AL35)</f>
        <v/>
      </c>
      <c r="Q35" s="128" t="str">
        <f>IF('4 Hourly RR Chart Reading'!Q35="","",'4 Hourly RR Chart Reading'!Q35*'4 Hourly RR Chart Reading'!AL35)</f>
        <v/>
      </c>
      <c r="R35" s="128" t="str">
        <f>IF('4 Hourly RR Chart Reading'!R35="","",'4 Hourly RR Chart Reading'!R35*'4 Hourly RR Chart Reading'!AL35)</f>
        <v/>
      </c>
      <c r="S35" s="164" t="str">
        <f>IF('4 Hourly RR Chart Reading'!S35="","",'4 Hourly RR Chart Reading'!S35*'4 Hourly RR Chart Reading'!AL35)</f>
        <v/>
      </c>
      <c r="T35" s="127" t="str">
        <f>IF('4 Hourly RR Chart Reading'!T35="","",'4 Hourly RR Chart Reading'!T35*'4 Hourly RR Chart Reading'!AM35)</f>
        <v/>
      </c>
      <c r="U35" s="128" t="str">
        <f>IF('4 Hourly RR Chart Reading'!U35="","",'4 Hourly RR Chart Reading'!U35*'4 Hourly RR Chart Reading'!AM35)</f>
        <v/>
      </c>
      <c r="V35" s="128" t="str">
        <f>IF('4 Hourly RR Chart Reading'!V35="","",'4 Hourly RR Chart Reading'!V35*'4 Hourly RR Chart Reading'!AM35)</f>
        <v/>
      </c>
      <c r="W35" s="128" t="str">
        <f>IF('4 Hourly RR Chart Reading'!W35="","",'4 Hourly RR Chart Reading'!W35*'4 Hourly RR Chart Reading'!AM35)</f>
        <v/>
      </c>
      <c r="X35" s="128" t="str">
        <f>IF('4 Hourly RR Chart Reading'!X35="","",'4 Hourly RR Chart Reading'!X35*'4 Hourly RR Chart Reading'!AM35)</f>
        <v/>
      </c>
      <c r="Y35" s="129" t="str">
        <f>IF('4 Hourly RR Chart Reading'!Y35="","",'4 Hourly RR Chart Reading'!Y35*'4 Hourly RR Chart Reading'!AM35)</f>
        <v/>
      </c>
      <c r="Z35" s="163" t="str">
        <f>IF('4 Hourly RR Chart Reading'!Z35="","",'4 Hourly RR Chart Reading'!Z35*'4 Hourly RR Chart Reading'!AN35)</f>
        <v/>
      </c>
      <c r="AA35" s="128" t="str">
        <f>IF('4 Hourly RR Chart Reading'!AA35="","",'4 Hourly RR Chart Reading'!AA35*'4 Hourly RR Chart Reading'!AN35)</f>
        <v/>
      </c>
      <c r="AB35" s="128" t="str">
        <f>IF('4 Hourly RR Chart Reading'!AB35="","",'4 Hourly RR Chart Reading'!AB35*'4 Hourly RR Chart Reading'!AN35)</f>
        <v/>
      </c>
      <c r="AC35" s="128" t="str">
        <f>IF('4 Hourly RR Chart Reading'!AC35="","",'4 Hourly RR Chart Reading'!AC35*'4 Hourly RR Chart Reading'!AN35)</f>
        <v/>
      </c>
      <c r="AD35" s="128" t="str">
        <f>IF('4 Hourly RR Chart Reading'!AD35="","",'4 Hourly RR Chart Reading'!AD35*'4 Hourly RR Chart Reading'!AN35)</f>
        <v/>
      </c>
      <c r="AE35" s="129" t="str">
        <f>IF('4 Hourly RR Chart Reading'!AE35="","",'4 Hourly RR Chart Reading'!AE35*'4 Hourly RR Chart Reading'!AN35)</f>
        <v/>
      </c>
      <c r="AF35" s="151"/>
      <c r="AG35" s="155" t="str">
        <f t="shared" si="0"/>
        <v/>
      </c>
      <c r="AH35" s="156" t="str">
        <f t="shared" si="1"/>
        <v/>
      </c>
      <c r="AI35" s="156" t="str">
        <f t="shared" si="2"/>
        <v/>
      </c>
      <c r="AJ35" s="157" t="str">
        <f t="shared" si="3"/>
        <v/>
      </c>
    </row>
    <row r="36" spans="1:36" ht="13.9" customHeight="1" x14ac:dyDescent="0.25">
      <c r="A36" s="72">
        <v>25</v>
      </c>
      <c r="B36" s="73" t="str">
        <f>IF('4 Hourly RR Chart Reading'!B36="","",'4 Hourly RR Chart Reading'!B36)</f>
        <v/>
      </c>
      <c r="C36" s="172">
        <f>IF('4 Hourly RR Chart Reading'!C36="","",'4 Hourly RR Chart Reading'!C36)</f>
        <v>0</v>
      </c>
      <c r="D36" s="173">
        <f>IF('4 Hourly RR Chart Reading'!D36="","",'4 Hourly RR Chart Reading'!D36)</f>
        <v>0</v>
      </c>
      <c r="E36" s="173">
        <f>IF('4 Hourly RR Chart Reading'!E36="","",'4 Hourly RR Chart Reading'!E36)</f>
        <v>0</v>
      </c>
      <c r="F36" s="174">
        <f>IF('4 Hourly RR Chart Reading'!F36="","",'4 Hourly RR Chart Reading'!F36)</f>
        <v>0</v>
      </c>
      <c r="G36" s="175">
        <f>IF('4 Hourly RR Chart Reading'!G36="","",'4 Hourly RR Chart Reading'!G36)</f>
        <v>0</v>
      </c>
      <c r="H36" s="163" t="str">
        <f>IF('4 Hourly RR Chart Reading'!H36="","",'4 Hourly RR Chart Reading'!H36*'4 Hourly RR Chart Reading'!AK36)</f>
        <v/>
      </c>
      <c r="I36" s="128" t="str">
        <f>IF('4 Hourly RR Chart Reading'!I36="","",'4 Hourly RR Chart Reading'!I36*'4 Hourly RR Chart Reading'!AK36)</f>
        <v/>
      </c>
      <c r="J36" s="128" t="str">
        <f>IF('4 Hourly RR Chart Reading'!J36="","",'4 Hourly RR Chart Reading'!J36*'4 Hourly RR Chart Reading'!AK36)</f>
        <v/>
      </c>
      <c r="K36" s="128" t="str">
        <f>IF('4 Hourly RR Chart Reading'!K36="","",'4 Hourly RR Chart Reading'!K36*'4 Hourly RR Chart Reading'!AK36)</f>
        <v/>
      </c>
      <c r="L36" s="128" t="str">
        <f>IF('4 Hourly RR Chart Reading'!L36="","",'4 Hourly RR Chart Reading'!L36*'4 Hourly RR Chart Reading'!AK36)</f>
        <v/>
      </c>
      <c r="M36" s="129" t="str">
        <f>IF('4 Hourly RR Chart Reading'!M36="","",'4 Hourly RR Chart Reading'!M36*'4 Hourly RR Chart Reading'!AK36)</f>
        <v/>
      </c>
      <c r="N36" s="163" t="str">
        <f>IF('4 Hourly RR Chart Reading'!N36="","",'4 Hourly RR Chart Reading'!N36*'4 Hourly RR Chart Reading'!AL36)</f>
        <v/>
      </c>
      <c r="O36" s="128" t="str">
        <f>IF('4 Hourly RR Chart Reading'!O36="","",'4 Hourly RR Chart Reading'!O36*'4 Hourly RR Chart Reading'!AL36)</f>
        <v/>
      </c>
      <c r="P36" s="128" t="str">
        <f>IF('4 Hourly RR Chart Reading'!P36="","",'4 Hourly RR Chart Reading'!P36*'4 Hourly RR Chart Reading'!AL36)</f>
        <v/>
      </c>
      <c r="Q36" s="128" t="str">
        <f>IF('4 Hourly RR Chart Reading'!Q36="","",'4 Hourly RR Chart Reading'!Q36*'4 Hourly RR Chart Reading'!AL36)</f>
        <v/>
      </c>
      <c r="R36" s="128" t="str">
        <f>IF('4 Hourly RR Chart Reading'!R36="","",'4 Hourly RR Chart Reading'!R36*'4 Hourly RR Chart Reading'!AL36)</f>
        <v/>
      </c>
      <c r="S36" s="164" t="str">
        <f>IF('4 Hourly RR Chart Reading'!S36="","",'4 Hourly RR Chart Reading'!S36*'4 Hourly RR Chart Reading'!AL36)</f>
        <v/>
      </c>
      <c r="T36" s="127" t="str">
        <f>IF('4 Hourly RR Chart Reading'!T36="","",'4 Hourly RR Chart Reading'!T36*'4 Hourly RR Chart Reading'!AM36)</f>
        <v/>
      </c>
      <c r="U36" s="128" t="str">
        <f>IF('4 Hourly RR Chart Reading'!U36="","",'4 Hourly RR Chart Reading'!U36*'4 Hourly RR Chart Reading'!AM36)</f>
        <v/>
      </c>
      <c r="V36" s="128" t="str">
        <f>IF('4 Hourly RR Chart Reading'!V36="","",'4 Hourly RR Chart Reading'!V36*'4 Hourly RR Chart Reading'!AM36)</f>
        <v/>
      </c>
      <c r="W36" s="128" t="str">
        <f>IF('4 Hourly RR Chart Reading'!W36="","",'4 Hourly RR Chart Reading'!W36*'4 Hourly RR Chart Reading'!AM36)</f>
        <v/>
      </c>
      <c r="X36" s="128" t="str">
        <f>IF('4 Hourly RR Chart Reading'!X36="","",'4 Hourly RR Chart Reading'!X36*'4 Hourly RR Chart Reading'!AM36)</f>
        <v/>
      </c>
      <c r="Y36" s="129" t="str">
        <f>IF('4 Hourly RR Chart Reading'!Y36="","",'4 Hourly RR Chart Reading'!Y36*'4 Hourly RR Chart Reading'!AM36)</f>
        <v/>
      </c>
      <c r="Z36" s="163" t="str">
        <f>IF('4 Hourly RR Chart Reading'!Z36="","",'4 Hourly RR Chart Reading'!Z36*'4 Hourly RR Chart Reading'!AN36)</f>
        <v/>
      </c>
      <c r="AA36" s="128" t="str">
        <f>IF('4 Hourly RR Chart Reading'!AA36="","",'4 Hourly RR Chart Reading'!AA36*'4 Hourly RR Chart Reading'!AN36)</f>
        <v/>
      </c>
      <c r="AB36" s="128" t="str">
        <f>IF('4 Hourly RR Chart Reading'!AB36="","",'4 Hourly RR Chart Reading'!AB36*'4 Hourly RR Chart Reading'!AN36)</f>
        <v/>
      </c>
      <c r="AC36" s="128" t="str">
        <f>IF('4 Hourly RR Chart Reading'!AC36="","",'4 Hourly RR Chart Reading'!AC36*'4 Hourly RR Chart Reading'!AN36)</f>
        <v/>
      </c>
      <c r="AD36" s="128" t="str">
        <f>IF('4 Hourly RR Chart Reading'!AD36="","",'4 Hourly RR Chart Reading'!AD36*'4 Hourly RR Chart Reading'!AN36)</f>
        <v/>
      </c>
      <c r="AE36" s="129" t="str">
        <f>IF('4 Hourly RR Chart Reading'!AE36="","",'4 Hourly RR Chart Reading'!AE36*'4 Hourly RR Chart Reading'!AN36)</f>
        <v/>
      </c>
      <c r="AF36" s="151"/>
      <c r="AG36" s="155" t="str">
        <f t="shared" si="0"/>
        <v/>
      </c>
      <c r="AH36" s="156" t="str">
        <f t="shared" si="1"/>
        <v/>
      </c>
      <c r="AI36" s="156" t="str">
        <f t="shared" si="2"/>
        <v/>
      </c>
      <c r="AJ36" s="157" t="str">
        <f t="shared" si="3"/>
        <v/>
      </c>
    </row>
    <row r="37" spans="1:36" ht="13.9" customHeight="1" x14ac:dyDescent="0.25">
      <c r="A37" s="72">
        <v>26</v>
      </c>
      <c r="B37" s="73" t="str">
        <f>IF('4 Hourly RR Chart Reading'!B37="","",'4 Hourly RR Chart Reading'!B37)</f>
        <v/>
      </c>
      <c r="C37" s="172">
        <f>IF('4 Hourly RR Chart Reading'!C37="","",'4 Hourly RR Chart Reading'!C37)</f>
        <v>0</v>
      </c>
      <c r="D37" s="173">
        <f>IF('4 Hourly RR Chart Reading'!D37="","",'4 Hourly RR Chart Reading'!D37)</f>
        <v>0</v>
      </c>
      <c r="E37" s="173">
        <f>IF('4 Hourly RR Chart Reading'!E37="","",'4 Hourly RR Chart Reading'!E37)</f>
        <v>0</v>
      </c>
      <c r="F37" s="174">
        <f>IF('4 Hourly RR Chart Reading'!F37="","",'4 Hourly RR Chart Reading'!F37)</f>
        <v>0</v>
      </c>
      <c r="G37" s="175">
        <f>IF('4 Hourly RR Chart Reading'!G37="","",'4 Hourly RR Chart Reading'!G37)</f>
        <v>0</v>
      </c>
      <c r="H37" s="163" t="str">
        <f>IF('4 Hourly RR Chart Reading'!H37="","",'4 Hourly RR Chart Reading'!H37*'4 Hourly RR Chart Reading'!AK37)</f>
        <v/>
      </c>
      <c r="I37" s="128" t="str">
        <f>IF('4 Hourly RR Chart Reading'!I37="","",'4 Hourly RR Chart Reading'!I37*'4 Hourly RR Chart Reading'!AK37)</f>
        <v/>
      </c>
      <c r="J37" s="128" t="str">
        <f>IF('4 Hourly RR Chart Reading'!J37="","",'4 Hourly RR Chart Reading'!J37*'4 Hourly RR Chart Reading'!AK37)</f>
        <v/>
      </c>
      <c r="K37" s="128" t="str">
        <f>IF('4 Hourly RR Chart Reading'!K37="","",'4 Hourly RR Chart Reading'!K37*'4 Hourly RR Chart Reading'!AK37)</f>
        <v/>
      </c>
      <c r="L37" s="128" t="str">
        <f>IF('4 Hourly RR Chart Reading'!L37="","",'4 Hourly RR Chart Reading'!L37*'4 Hourly RR Chart Reading'!AK37)</f>
        <v/>
      </c>
      <c r="M37" s="129" t="str">
        <f>IF('4 Hourly RR Chart Reading'!M37="","",'4 Hourly RR Chart Reading'!M37*'4 Hourly RR Chart Reading'!AK37)</f>
        <v/>
      </c>
      <c r="N37" s="163" t="str">
        <f>IF('4 Hourly RR Chart Reading'!N37="","",'4 Hourly RR Chart Reading'!N37*'4 Hourly RR Chart Reading'!AL37)</f>
        <v/>
      </c>
      <c r="O37" s="128" t="str">
        <f>IF('4 Hourly RR Chart Reading'!O37="","",'4 Hourly RR Chart Reading'!O37*'4 Hourly RR Chart Reading'!AL37)</f>
        <v/>
      </c>
      <c r="P37" s="128" t="str">
        <f>IF('4 Hourly RR Chart Reading'!P37="","",'4 Hourly RR Chart Reading'!P37*'4 Hourly RR Chart Reading'!AL37)</f>
        <v/>
      </c>
      <c r="Q37" s="128" t="str">
        <f>IF('4 Hourly RR Chart Reading'!Q37="","",'4 Hourly RR Chart Reading'!Q37*'4 Hourly RR Chart Reading'!AL37)</f>
        <v/>
      </c>
      <c r="R37" s="128" t="str">
        <f>IF('4 Hourly RR Chart Reading'!R37="","",'4 Hourly RR Chart Reading'!R37*'4 Hourly RR Chart Reading'!AL37)</f>
        <v/>
      </c>
      <c r="S37" s="164" t="str">
        <f>IF('4 Hourly RR Chart Reading'!S37="","",'4 Hourly RR Chart Reading'!S37*'4 Hourly RR Chart Reading'!AL37)</f>
        <v/>
      </c>
      <c r="T37" s="127" t="str">
        <f>IF('4 Hourly RR Chart Reading'!T37="","",'4 Hourly RR Chart Reading'!T37*'4 Hourly RR Chart Reading'!AM37)</f>
        <v/>
      </c>
      <c r="U37" s="128" t="str">
        <f>IF('4 Hourly RR Chart Reading'!U37="","",'4 Hourly RR Chart Reading'!U37*'4 Hourly RR Chart Reading'!AM37)</f>
        <v/>
      </c>
      <c r="V37" s="128" t="str">
        <f>IF('4 Hourly RR Chart Reading'!V37="","",'4 Hourly RR Chart Reading'!V37*'4 Hourly RR Chart Reading'!AM37)</f>
        <v/>
      </c>
      <c r="W37" s="128" t="str">
        <f>IF('4 Hourly RR Chart Reading'!W37="","",'4 Hourly RR Chart Reading'!W37*'4 Hourly RR Chart Reading'!AM37)</f>
        <v/>
      </c>
      <c r="X37" s="128" t="str">
        <f>IF('4 Hourly RR Chart Reading'!X37="","",'4 Hourly RR Chart Reading'!X37*'4 Hourly RR Chart Reading'!AM37)</f>
        <v/>
      </c>
      <c r="Y37" s="129" t="str">
        <f>IF('4 Hourly RR Chart Reading'!Y37="","",'4 Hourly RR Chart Reading'!Y37*'4 Hourly RR Chart Reading'!AM37)</f>
        <v/>
      </c>
      <c r="Z37" s="163" t="str">
        <f>IF('4 Hourly RR Chart Reading'!Z37="","",'4 Hourly RR Chart Reading'!Z37*'4 Hourly RR Chart Reading'!AN37)</f>
        <v/>
      </c>
      <c r="AA37" s="128" t="str">
        <f>IF('4 Hourly RR Chart Reading'!AA37="","",'4 Hourly RR Chart Reading'!AA37*'4 Hourly RR Chart Reading'!AN37)</f>
        <v/>
      </c>
      <c r="AB37" s="128" t="str">
        <f>IF('4 Hourly RR Chart Reading'!AB37="","",'4 Hourly RR Chart Reading'!AB37*'4 Hourly RR Chart Reading'!AN37)</f>
        <v/>
      </c>
      <c r="AC37" s="128" t="str">
        <f>IF('4 Hourly RR Chart Reading'!AC37="","",'4 Hourly RR Chart Reading'!AC37*'4 Hourly RR Chart Reading'!AN37)</f>
        <v/>
      </c>
      <c r="AD37" s="128" t="str">
        <f>IF('4 Hourly RR Chart Reading'!AD37="","",'4 Hourly RR Chart Reading'!AD37*'4 Hourly RR Chart Reading'!AN37)</f>
        <v/>
      </c>
      <c r="AE37" s="129" t="str">
        <f>IF('4 Hourly RR Chart Reading'!AE37="","",'4 Hourly RR Chart Reading'!AE37*'4 Hourly RR Chart Reading'!AN37)</f>
        <v/>
      </c>
      <c r="AF37" s="151"/>
      <c r="AG37" s="155" t="str">
        <f t="shared" si="0"/>
        <v/>
      </c>
      <c r="AH37" s="156" t="str">
        <f t="shared" si="1"/>
        <v/>
      </c>
      <c r="AI37" s="156" t="str">
        <f t="shared" si="2"/>
        <v/>
      </c>
      <c r="AJ37" s="157" t="str">
        <f t="shared" si="3"/>
        <v/>
      </c>
    </row>
    <row r="38" spans="1:36" ht="13.9" customHeight="1" x14ac:dyDescent="0.25">
      <c r="A38" s="72">
        <v>27</v>
      </c>
      <c r="B38" s="73" t="str">
        <f>IF('4 Hourly RR Chart Reading'!B38="","",'4 Hourly RR Chart Reading'!B38)</f>
        <v/>
      </c>
      <c r="C38" s="172">
        <f>IF('4 Hourly RR Chart Reading'!C38="","",'4 Hourly RR Chart Reading'!C38)</f>
        <v>0</v>
      </c>
      <c r="D38" s="173">
        <f>IF('4 Hourly RR Chart Reading'!D38="","",'4 Hourly RR Chart Reading'!D38)</f>
        <v>0</v>
      </c>
      <c r="E38" s="173">
        <f>IF('4 Hourly RR Chart Reading'!E38="","",'4 Hourly RR Chart Reading'!E38)</f>
        <v>0</v>
      </c>
      <c r="F38" s="174">
        <f>IF('4 Hourly RR Chart Reading'!F38="","",'4 Hourly RR Chart Reading'!F38)</f>
        <v>0</v>
      </c>
      <c r="G38" s="175">
        <f>IF('4 Hourly RR Chart Reading'!G38="","",'4 Hourly RR Chart Reading'!G38)</f>
        <v>0</v>
      </c>
      <c r="H38" s="163" t="str">
        <f>IF('4 Hourly RR Chart Reading'!H38="","",'4 Hourly RR Chart Reading'!H38*'4 Hourly RR Chart Reading'!AK38)</f>
        <v/>
      </c>
      <c r="I38" s="128" t="str">
        <f>IF('4 Hourly RR Chart Reading'!I38="","",'4 Hourly RR Chart Reading'!I38*'4 Hourly RR Chart Reading'!AK38)</f>
        <v/>
      </c>
      <c r="J38" s="128" t="str">
        <f>IF('4 Hourly RR Chart Reading'!J38="","",'4 Hourly RR Chart Reading'!J38*'4 Hourly RR Chart Reading'!AK38)</f>
        <v/>
      </c>
      <c r="K38" s="128" t="str">
        <f>IF('4 Hourly RR Chart Reading'!K38="","",'4 Hourly RR Chart Reading'!K38*'4 Hourly RR Chart Reading'!AK38)</f>
        <v/>
      </c>
      <c r="L38" s="128" t="str">
        <f>IF('4 Hourly RR Chart Reading'!L38="","",'4 Hourly RR Chart Reading'!L38*'4 Hourly RR Chart Reading'!AK38)</f>
        <v/>
      </c>
      <c r="M38" s="129" t="str">
        <f>IF('4 Hourly RR Chart Reading'!M38="","",'4 Hourly RR Chart Reading'!M38*'4 Hourly RR Chart Reading'!AK38)</f>
        <v/>
      </c>
      <c r="N38" s="163" t="str">
        <f>IF('4 Hourly RR Chart Reading'!N38="","",'4 Hourly RR Chart Reading'!N38*'4 Hourly RR Chart Reading'!AL38)</f>
        <v/>
      </c>
      <c r="O38" s="128" t="str">
        <f>IF('4 Hourly RR Chart Reading'!O38="","",'4 Hourly RR Chart Reading'!O38*'4 Hourly RR Chart Reading'!AL38)</f>
        <v/>
      </c>
      <c r="P38" s="128" t="str">
        <f>IF('4 Hourly RR Chart Reading'!P38="","",'4 Hourly RR Chart Reading'!P38*'4 Hourly RR Chart Reading'!AL38)</f>
        <v/>
      </c>
      <c r="Q38" s="128" t="str">
        <f>IF('4 Hourly RR Chart Reading'!Q38="","",'4 Hourly RR Chart Reading'!Q38*'4 Hourly RR Chart Reading'!AL38)</f>
        <v/>
      </c>
      <c r="R38" s="128" t="str">
        <f>IF('4 Hourly RR Chart Reading'!R38="","",'4 Hourly RR Chart Reading'!R38*'4 Hourly RR Chart Reading'!AL38)</f>
        <v/>
      </c>
      <c r="S38" s="164" t="str">
        <f>IF('4 Hourly RR Chart Reading'!S38="","",'4 Hourly RR Chart Reading'!S38*'4 Hourly RR Chart Reading'!AL38)</f>
        <v/>
      </c>
      <c r="T38" s="127" t="str">
        <f>IF('4 Hourly RR Chart Reading'!T38="","",'4 Hourly RR Chart Reading'!T38*'4 Hourly RR Chart Reading'!AM38)</f>
        <v/>
      </c>
      <c r="U38" s="128" t="str">
        <f>IF('4 Hourly RR Chart Reading'!U38="","",'4 Hourly RR Chart Reading'!U38*'4 Hourly RR Chart Reading'!AM38)</f>
        <v/>
      </c>
      <c r="V38" s="128" t="str">
        <f>IF('4 Hourly RR Chart Reading'!V38="","",'4 Hourly RR Chart Reading'!V38*'4 Hourly RR Chart Reading'!AM38)</f>
        <v/>
      </c>
      <c r="W38" s="128" t="str">
        <f>IF('4 Hourly RR Chart Reading'!W38="","",'4 Hourly RR Chart Reading'!W38*'4 Hourly RR Chart Reading'!AM38)</f>
        <v/>
      </c>
      <c r="X38" s="128" t="str">
        <f>IF('4 Hourly RR Chart Reading'!X38="","",'4 Hourly RR Chart Reading'!X38*'4 Hourly RR Chart Reading'!AM38)</f>
        <v/>
      </c>
      <c r="Y38" s="129" t="str">
        <f>IF('4 Hourly RR Chart Reading'!Y38="","",'4 Hourly RR Chart Reading'!Y38*'4 Hourly RR Chart Reading'!AM38)</f>
        <v/>
      </c>
      <c r="Z38" s="163" t="str">
        <f>IF('4 Hourly RR Chart Reading'!Z38="","",'4 Hourly RR Chart Reading'!Z38*'4 Hourly RR Chart Reading'!AN38)</f>
        <v/>
      </c>
      <c r="AA38" s="128" t="str">
        <f>IF('4 Hourly RR Chart Reading'!AA38="","",'4 Hourly RR Chart Reading'!AA38*'4 Hourly RR Chart Reading'!AN38)</f>
        <v/>
      </c>
      <c r="AB38" s="128" t="str">
        <f>IF('4 Hourly RR Chart Reading'!AB38="","",'4 Hourly RR Chart Reading'!AB38*'4 Hourly RR Chart Reading'!AN38)</f>
        <v/>
      </c>
      <c r="AC38" s="128" t="str">
        <f>IF('4 Hourly RR Chart Reading'!AC38="","",'4 Hourly RR Chart Reading'!AC38*'4 Hourly RR Chart Reading'!AN38)</f>
        <v/>
      </c>
      <c r="AD38" s="128" t="str">
        <f>IF('4 Hourly RR Chart Reading'!AD38="","",'4 Hourly RR Chart Reading'!AD38*'4 Hourly RR Chart Reading'!AN38)</f>
        <v/>
      </c>
      <c r="AE38" s="129" t="str">
        <f>IF('4 Hourly RR Chart Reading'!AE38="","",'4 Hourly RR Chart Reading'!AE38*'4 Hourly RR Chart Reading'!AN38)</f>
        <v/>
      </c>
      <c r="AF38" s="151"/>
      <c r="AG38" s="155" t="str">
        <f t="shared" si="0"/>
        <v/>
      </c>
      <c r="AH38" s="156" t="str">
        <f t="shared" si="1"/>
        <v/>
      </c>
      <c r="AI38" s="156" t="str">
        <f t="shared" si="2"/>
        <v/>
      </c>
      <c r="AJ38" s="157" t="str">
        <f t="shared" si="3"/>
        <v/>
      </c>
    </row>
    <row r="39" spans="1:36" ht="13.9" customHeight="1" x14ac:dyDescent="0.25">
      <c r="A39" s="72">
        <v>28</v>
      </c>
      <c r="B39" s="73" t="str">
        <f>IF('4 Hourly RR Chart Reading'!B39="","",'4 Hourly RR Chart Reading'!B39)</f>
        <v/>
      </c>
      <c r="C39" s="172">
        <f>IF('4 Hourly RR Chart Reading'!C39="","",'4 Hourly RR Chart Reading'!C39)</f>
        <v>0</v>
      </c>
      <c r="D39" s="173">
        <f>IF('4 Hourly RR Chart Reading'!D39="","",'4 Hourly RR Chart Reading'!D39)</f>
        <v>0</v>
      </c>
      <c r="E39" s="173">
        <f>IF('4 Hourly RR Chart Reading'!E39="","",'4 Hourly RR Chart Reading'!E39)</f>
        <v>0</v>
      </c>
      <c r="F39" s="174">
        <f>IF('4 Hourly RR Chart Reading'!F39="","",'4 Hourly RR Chart Reading'!F39)</f>
        <v>0</v>
      </c>
      <c r="G39" s="175">
        <f>IF('4 Hourly RR Chart Reading'!G39="","",'4 Hourly RR Chart Reading'!G39)</f>
        <v>0</v>
      </c>
      <c r="H39" s="163" t="str">
        <f>IF('4 Hourly RR Chart Reading'!H39="","",'4 Hourly RR Chart Reading'!H39*'4 Hourly RR Chart Reading'!AK39)</f>
        <v/>
      </c>
      <c r="I39" s="128" t="str">
        <f>IF('4 Hourly RR Chart Reading'!I39="","",'4 Hourly RR Chart Reading'!I39*'4 Hourly RR Chart Reading'!AK39)</f>
        <v/>
      </c>
      <c r="J39" s="128" t="str">
        <f>IF('4 Hourly RR Chart Reading'!J39="","",'4 Hourly RR Chart Reading'!J39*'4 Hourly RR Chart Reading'!AK39)</f>
        <v/>
      </c>
      <c r="K39" s="128" t="str">
        <f>IF('4 Hourly RR Chart Reading'!K39="","",'4 Hourly RR Chart Reading'!K39*'4 Hourly RR Chart Reading'!AK39)</f>
        <v/>
      </c>
      <c r="L39" s="128" t="str">
        <f>IF('4 Hourly RR Chart Reading'!L39="","",'4 Hourly RR Chart Reading'!L39*'4 Hourly RR Chart Reading'!AK39)</f>
        <v/>
      </c>
      <c r="M39" s="129" t="str">
        <f>IF('4 Hourly RR Chart Reading'!M39="","",'4 Hourly RR Chart Reading'!M39*'4 Hourly RR Chart Reading'!AK39)</f>
        <v/>
      </c>
      <c r="N39" s="163" t="str">
        <f>IF('4 Hourly RR Chart Reading'!N39="","",'4 Hourly RR Chart Reading'!N39*'4 Hourly RR Chart Reading'!AL39)</f>
        <v/>
      </c>
      <c r="O39" s="128" t="str">
        <f>IF('4 Hourly RR Chart Reading'!O39="","",'4 Hourly RR Chart Reading'!O39*'4 Hourly RR Chart Reading'!AL39)</f>
        <v/>
      </c>
      <c r="P39" s="128" t="str">
        <f>IF('4 Hourly RR Chart Reading'!P39="","",'4 Hourly RR Chart Reading'!P39*'4 Hourly RR Chart Reading'!AL39)</f>
        <v/>
      </c>
      <c r="Q39" s="128" t="str">
        <f>IF('4 Hourly RR Chart Reading'!Q39="","",'4 Hourly RR Chart Reading'!Q39*'4 Hourly RR Chart Reading'!AL39)</f>
        <v/>
      </c>
      <c r="R39" s="128" t="str">
        <f>IF('4 Hourly RR Chart Reading'!R39="","",'4 Hourly RR Chart Reading'!R39*'4 Hourly RR Chart Reading'!AL39)</f>
        <v/>
      </c>
      <c r="S39" s="164" t="str">
        <f>IF('4 Hourly RR Chart Reading'!S39="","",'4 Hourly RR Chart Reading'!S39*'4 Hourly RR Chart Reading'!AL39)</f>
        <v/>
      </c>
      <c r="T39" s="127" t="str">
        <f>IF('4 Hourly RR Chart Reading'!T39="","",'4 Hourly RR Chart Reading'!T39*'4 Hourly RR Chart Reading'!AM39)</f>
        <v/>
      </c>
      <c r="U39" s="128" t="str">
        <f>IF('4 Hourly RR Chart Reading'!U39="","",'4 Hourly RR Chart Reading'!U39*'4 Hourly RR Chart Reading'!AM39)</f>
        <v/>
      </c>
      <c r="V39" s="128" t="str">
        <f>IF('4 Hourly RR Chart Reading'!V39="","",'4 Hourly RR Chart Reading'!V39*'4 Hourly RR Chart Reading'!AM39)</f>
        <v/>
      </c>
      <c r="W39" s="128" t="str">
        <f>IF('4 Hourly RR Chart Reading'!W39="","",'4 Hourly RR Chart Reading'!W39*'4 Hourly RR Chart Reading'!AM39)</f>
        <v/>
      </c>
      <c r="X39" s="128" t="str">
        <f>IF('4 Hourly RR Chart Reading'!X39="","",'4 Hourly RR Chart Reading'!X39*'4 Hourly RR Chart Reading'!AM39)</f>
        <v/>
      </c>
      <c r="Y39" s="129" t="str">
        <f>IF('4 Hourly RR Chart Reading'!Y39="","",'4 Hourly RR Chart Reading'!Y39*'4 Hourly RR Chart Reading'!AM39)</f>
        <v/>
      </c>
      <c r="Z39" s="163" t="str">
        <f>IF('4 Hourly RR Chart Reading'!Z39="","",'4 Hourly RR Chart Reading'!Z39*'4 Hourly RR Chart Reading'!AN39)</f>
        <v/>
      </c>
      <c r="AA39" s="128" t="str">
        <f>IF('4 Hourly RR Chart Reading'!AA39="","",'4 Hourly RR Chart Reading'!AA39*'4 Hourly RR Chart Reading'!AN39)</f>
        <v/>
      </c>
      <c r="AB39" s="128" t="str">
        <f>IF('4 Hourly RR Chart Reading'!AB39="","",'4 Hourly RR Chart Reading'!AB39*'4 Hourly RR Chart Reading'!AN39)</f>
        <v/>
      </c>
      <c r="AC39" s="128" t="str">
        <f>IF('4 Hourly RR Chart Reading'!AC39="","",'4 Hourly RR Chart Reading'!AC39*'4 Hourly RR Chart Reading'!AN39)</f>
        <v/>
      </c>
      <c r="AD39" s="128" t="str">
        <f>IF('4 Hourly RR Chart Reading'!AD39="","",'4 Hourly RR Chart Reading'!AD39*'4 Hourly RR Chart Reading'!AN39)</f>
        <v/>
      </c>
      <c r="AE39" s="129" t="str">
        <f>IF('4 Hourly RR Chart Reading'!AE39="","",'4 Hourly RR Chart Reading'!AE39*'4 Hourly RR Chart Reading'!AN39)</f>
        <v/>
      </c>
      <c r="AF39" s="151"/>
      <c r="AG39" s="155" t="str">
        <f t="shared" si="0"/>
        <v/>
      </c>
      <c r="AH39" s="156" t="str">
        <f t="shared" si="1"/>
        <v/>
      </c>
      <c r="AI39" s="156" t="str">
        <f t="shared" si="2"/>
        <v/>
      </c>
      <c r="AJ39" s="157" t="str">
        <f t="shared" si="3"/>
        <v/>
      </c>
    </row>
    <row r="40" spans="1:36" ht="13.9" customHeight="1" x14ac:dyDescent="0.25">
      <c r="A40" s="72">
        <v>29</v>
      </c>
      <c r="B40" s="73" t="str">
        <f>IF('4 Hourly RR Chart Reading'!B40="","",'4 Hourly RR Chart Reading'!B40)</f>
        <v/>
      </c>
      <c r="C40" s="172">
        <f>IF('4 Hourly RR Chart Reading'!C40="","",'4 Hourly RR Chart Reading'!C40)</f>
        <v>0</v>
      </c>
      <c r="D40" s="173">
        <f>IF('4 Hourly RR Chart Reading'!D40="","",'4 Hourly RR Chart Reading'!D40)</f>
        <v>0</v>
      </c>
      <c r="E40" s="173">
        <f>IF('4 Hourly RR Chart Reading'!E40="","",'4 Hourly RR Chart Reading'!E40)</f>
        <v>0</v>
      </c>
      <c r="F40" s="174">
        <f>IF('4 Hourly RR Chart Reading'!F40="","",'4 Hourly RR Chart Reading'!F40)</f>
        <v>0</v>
      </c>
      <c r="G40" s="175">
        <f>IF('4 Hourly RR Chart Reading'!G40="","",'4 Hourly RR Chart Reading'!G40)</f>
        <v>0</v>
      </c>
      <c r="H40" s="163" t="str">
        <f>IF('4 Hourly RR Chart Reading'!H40="","",'4 Hourly RR Chart Reading'!H40*'4 Hourly RR Chart Reading'!AK40)</f>
        <v/>
      </c>
      <c r="I40" s="128" t="str">
        <f>IF('4 Hourly RR Chart Reading'!I40="","",'4 Hourly RR Chart Reading'!I40*'4 Hourly RR Chart Reading'!AK40)</f>
        <v/>
      </c>
      <c r="J40" s="128" t="str">
        <f>IF('4 Hourly RR Chart Reading'!J40="","",'4 Hourly RR Chart Reading'!J40*'4 Hourly RR Chart Reading'!AK40)</f>
        <v/>
      </c>
      <c r="K40" s="128" t="str">
        <f>IF('4 Hourly RR Chart Reading'!K40="","",'4 Hourly RR Chart Reading'!K40*'4 Hourly RR Chart Reading'!AK40)</f>
        <v/>
      </c>
      <c r="L40" s="128" t="str">
        <f>IF('4 Hourly RR Chart Reading'!L40="","",'4 Hourly RR Chart Reading'!L40*'4 Hourly RR Chart Reading'!AK40)</f>
        <v/>
      </c>
      <c r="M40" s="129" t="str">
        <f>IF('4 Hourly RR Chart Reading'!M40="","",'4 Hourly RR Chart Reading'!M40*'4 Hourly RR Chart Reading'!AK40)</f>
        <v/>
      </c>
      <c r="N40" s="163" t="str">
        <f>IF('4 Hourly RR Chart Reading'!N40="","",'4 Hourly RR Chart Reading'!N40*'4 Hourly RR Chart Reading'!AL40)</f>
        <v/>
      </c>
      <c r="O40" s="128" t="str">
        <f>IF('4 Hourly RR Chart Reading'!O40="","",'4 Hourly RR Chart Reading'!O40*'4 Hourly RR Chart Reading'!AL40)</f>
        <v/>
      </c>
      <c r="P40" s="128" t="str">
        <f>IF('4 Hourly RR Chart Reading'!P40="","",'4 Hourly RR Chart Reading'!P40*'4 Hourly RR Chart Reading'!AL40)</f>
        <v/>
      </c>
      <c r="Q40" s="128" t="str">
        <f>IF('4 Hourly RR Chart Reading'!Q40="","",'4 Hourly RR Chart Reading'!Q40*'4 Hourly RR Chart Reading'!AL40)</f>
        <v/>
      </c>
      <c r="R40" s="128" t="str">
        <f>IF('4 Hourly RR Chart Reading'!R40="","",'4 Hourly RR Chart Reading'!R40*'4 Hourly RR Chart Reading'!AL40)</f>
        <v/>
      </c>
      <c r="S40" s="164" t="str">
        <f>IF('4 Hourly RR Chart Reading'!S40="","",'4 Hourly RR Chart Reading'!S40*'4 Hourly RR Chart Reading'!AL40)</f>
        <v/>
      </c>
      <c r="T40" s="127" t="str">
        <f>IF('4 Hourly RR Chart Reading'!T40="","",'4 Hourly RR Chart Reading'!T40*'4 Hourly RR Chart Reading'!AM40)</f>
        <v/>
      </c>
      <c r="U40" s="128" t="str">
        <f>IF('4 Hourly RR Chart Reading'!U40="","",'4 Hourly RR Chart Reading'!U40*'4 Hourly RR Chart Reading'!AM40)</f>
        <v/>
      </c>
      <c r="V40" s="128" t="str">
        <f>IF('4 Hourly RR Chart Reading'!V40="","",'4 Hourly RR Chart Reading'!V40*'4 Hourly RR Chart Reading'!AM40)</f>
        <v/>
      </c>
      <c r="W40" s="128" t="str">
        <f>IF('4 Hourly RR Chart Reading'!W40="","",'4 Hourly RR Chart Reading'!W40*'4 Hourly RR Chart Reading'!AM40)</f>
        <v/>
      </c>
      <c r="X40" s="128" t="str">
        <f>IF('4 Hourly RR Chart Reading'!X40="","",'4 Hourly RR Chart Reading'!X40*'4 Hourly RR Chart Reading'!AM40)</f>
        <v/>
      </c>
      <c r="Y40" s="129" t="str">
        <f>IF('4 Hourly RR Chart Reading'!Y40="","",'4 Hourly RR Chart Reading'!Y40*'4 Hourly RR Chart Reading'!AM40)</f>
        <v/>
      </c>
      <c r="Z40" s="163" t="str">
        <f>IF('4 Hourly RR Chart Reading'!Z40="","",'4 Hourly RR Chart Reading'!Z40*'4 Hourly RR Chart Reading'!AN40)</f>
        <v/>
      </c>
      <c r="AA40" s="128" t="str">
        <f>IF('4 Hourly RR Chart Reading'!AA40="","",'4 Hourly RR Chart Reading'!AA40*'4 Hourly RR Chart Reading'!AN40)</f>
        <v/>
      </c>
      <c r="AB40" s="128" t="str">
        <f>IF('4 Hourly RR Chart Reading'!AB40="","",'4 Hourly RR Chart Reading'!AB40*'4 Hourly RR Chart Reading'!AN40)</f>
        <v/>
      </c>
      <c r="AC40" s="128" t="str">
        <f>IF('4 Hourly RR Chart Reading'!AC40="","",'4 Hourly RR Chart Reading'!AC40*'4 Hourly RR Chart Reading'!AN40)</f>
        <v/>
      </c>
      <c r="AD40" s="128" t="str">
        <f>IF('4 Hourly RR Chart Reading'!AD40="","",'4 Hourly RR Chart Reading'!AD40*'4 Hourly RR Chart Reading'!AN40)</f>
        <v/>
      </c>
      <c r="AE40" s="129" t="str">
        <f>IF('4 Hourly RR Chart Reading'!AE40="","",'4 Hourly RR Chart Reading'!AE40*'4 Hourly RR Chart Reading'!AN40)</f>
        <v/>
      </c>
      <c r="AF40" s="151"/>
      <c r="AG40" s="155" t="str">
        <f t="shared" si="0"/>
        <v/>
      </c>
      <c r="AH40" s="156" t="str">
        <f t="shared" si="1"/>
        <v/>
      </c>
      <c r="AI40" s="156" t="str">
        <f t="shared" si="2"/>
        <v/>
      </c>
      <c r="AJ40" s="157" t="str">
        <f t="shared" si="3"/>
        <v/>
      </c>
    </row>
    <row r="41" spans="1:36" ht="13.9" customHeight="1" x14ac:dyDescent="0.25">
      <c r="A41" s="72">
        <v>30</v>
      </c>
      <c r="B41" s="73" t="str">
        <f>IF('4 Hourly RR Chart Reading'!B41="","",'4 Hourly RR Chart Reading'!B41)</f>
        <v/>
      </c>
      <c r="C41" s="172">
        <f>IF('4 Hourly RR Chart Reading'!C41="","",'4 Hourly RR Chart Reading'!C41)</f>
        <v>0</v>
      </c>
      <c r="D41" s="173">
        <f>IF('4 Hourly RR Chart Reading'!D41="","",'4 Hourly RR Chart Reading'!D41)</f>
        <v>0</v>
      </c>
      <c r="E41" s="173">
        <f>IF('4 Hourly RR Chart Reading'!E41="","",'4 Hourly RR Chart Reading'!E41)</f>
        <v>0</v>
      </c>
      <c r="F41" s="174">
        <f>IF('4 Hourly RR Chart Reading'!F41="","",'4 Hourly RR Chart Reading'!F41)</f>
        <v>0</v>
      </c>
      <c r="G41" s="175">
        <f>IF('4 Hourly RR Chart Reading'!G41="","",'4 Hourly RR Chart Reading'!G41)</f>
        <v>0</v>
      </c>
      <c r="H41" s="163" t="str">
        <f>IF('4 Hourly RR Chart Reading'!H41="","",'4 Hourly RR Chart Reading'!H41*'4 Hourly RR Chart Reading'!AK41)</f>
        <v/>
      </c>
      <c r="I41" s="128" t="str">
        <f>IF('4 Hourly RR Chart Reading'!I41="","",'4 Hourly RR Chart Reading'!I41*'4 Hourly RR Chart Reading'!AK41)</f>
        <v/>
      </c>
      <c r="J41" s="128" t="str">
        <f>IF('4 Hourly RR Chart Reading'!J41="","",'4 Hourly RR Chart Reading'!J41*'4 Hourly RR Chart Reading'!AK41)</f>
        <v/>
      </c>
      <c r="K41" s="128" t="str">
        <f>IF('4 Hourly RR Chart Reading'!K41="","",'4 Hourly RR Chart Reading'!K41*'4 Hourly RR Chart Reading'!AK41)</f>
        <v/>
      </c>
      <c r="L41" s="128" t="str">
        <f>IF('4 Hourly RR Chart Reading'!L41="","",'4 Hourly RR Chart Reading'!L41*'4 Hourly RR Chart Reading'!AK41)</f>
        <v/>
      </c>
      <c r="M41" s="129" t="str">
        <f>IF('4 Hourly RR Chart Reading'!M41="","",'4 Hourly RR Chart Reading'!M41*'4 Hourly RR Chart Reading'!AK41)</f>
        <v/>
      </c>
      <c r="N41" s="163" t="str">
        <f>IF('4 Hourly RR Chart Reading'!N41="","",'4 Hourly RR Chart Reading'!N41*'4 Hourly RR Chart Reading'!AL41)</f>
        <v/>
      </c>
      <c r="O41" s="128" t="str">
        <f>IF('4 Hourly RR Chart Reading'!O41="","",'4 Hourly RR Chart Reading'!O41*'4 Hourly RR Chart Reading'!AL41)</f>
        <v/>
      </c>
      <c r="P41" s="128" t="str">
        <f>IF('4 Hourly RR Chart Reading'!P41="","",'4 Hourly RR Chart Reading'!P41*'4 Hourly RR Chart Reading'!AL41)</f>
        <v/>
      </c>
      <c r="Q41" s="128" t="str">
        <f>IF('4 Hourly RR Chart Reading'!Q41="","",'4 Hourly RR Chart Reading'!Q41*'4 Hourly RR Chart Reading'!AL41)</f>
        <v/>
      </c>
      <c r="R41" s="128" t="str">
        <f>IF('4 Hourly RR Chart Reading'!R41="","",'4 Hourly RR Chart Reading'!R41*'4 Hourly RR Chart Reading'!AL41)</f>
        <v/>
      </c>
      <c r="S41" s="164" t="str">
        <f>IF('4 Hourly RR Chart Reading'!S41="","",'4 Hourly RR Chart Reading'!S41*'4 Hourly RR Chart Reading'!AL41)</f>
        <v/>
      </c>
      <c r="T41" s="127" t="str">
        <f>IF('4 Hourly RR Chart Reading'!T41="","",'4 Hourly RR Chart Reading'!T41*'4 Hourly RR Chart Reading'!AM41)</f>
        <v/>
      </c>
      <c r="U41" s="128" t="str">
        <f>IF('4 Hourly RR Chart Reading'!U41="","",'4 Hourly RR Chart Reading'!U41*'4 Hourly RR Chart Reading'!AM41)</f>
        <v/>
      </c>
      <c r="V41" s="128" t="str">
        <f>IF('4 Hourly RR Chart Reading'!V41="","",'4 Hourly RR Chart Reading'!V41*'4 Hourly RR Chart Reading'!AM41)</f>
        <v/>
      </c>
      <c r="W41" s="128" t="str">
        <f>IF('4 Hourly RR Chart Reading'!W41="","",'4 Hourly RR Chart Reading'!W41*'4 Hourly RR Chart Reading'!AM41)</f>
        <v/>
      </c>
      <c r="X41" s="128" t="str">
        <f>IF('4 Hourly RR Chart Reading'!X41="","",'4 Hourly RR Chart Reading'!X41*'4 Hourly RR Chart Reading'!AM41)</f>
        <v/>
      </c>
      <c r="Y41" s="129" t="str">
        <f>IF('4 Hourly RR Chart Reading'!Y41="","",'4 Hourly RR Chart Reading'!Y41*'4 Hourly RR Chart Reading'!AM41)</f>
        <v/>
      </c>
      <c r="Z41" s="163" t="str">
        <f>IF('4 Hourly RR Chart Reading'!Z41="","",'4 Hourly RR Chart Reading'!Z41*'4 Hourly RR Chart Reading'!AN41)</f>
        <v/>
      </c>
      <c r="AA41" s="128" t="str">
        <f>IF('4 Hourly RR Chart Reading'!AA41="","",'4 Hourly RR Chart Reading'!AA41*'4 Hourly RR Chart Reading'!AN41)</f>
        <v/>
      </c>
      <c r="AB41" s="128" t="str">
        <f>IF('4 Hourly RR Chart Reading'!AB41="","",'4 Hourly RR Chart Reading'!AB41*'4 Hourly RR Chart Reading'!AN41)</f>
        <v/>
      </c>
      <c r="AC41" s="128" t="str">
        <f>IF('4 Hourly RR Chart Reading'!AC41="","",'4 Hourly RR Chart Reading'!AC41*'4 Hourly RR Chart Reading'!AN41)</f>
        <v/>
      </c>
      <c r="AD41" s="128" t="str">
        <f>IF('4 Hourly RR Chart Reading'!AD41="","",'4 Hourly RR Chart Reading'!AD41*'4 Hourly RR Chart Reading'!AN41)</f>
        <v/>
      </c>
      <c r="AE41" s="129" t="str">
        <f>IF('4 Hourly RR Chart Reading'!AE41="","",'4 Hourly RR Chart Reading'!AE41*'4 Hourly RR Chart Reading'!AN41)</f>
        <v/>
      </c>
      <c r="AF41" s="151"/>
      <c r="AG41" s="155" t="str">
        <f t="shared" si="0"/>
        <v/>
      </c>
      <c r="AH41" s="156" t="str">
        <f t="shared" si="1"/>
        <v/>
      </c>
      <c r="AI41" s="156" t="str">
        <f t="shared" si="2"/>
        <v/>
      </c>
      <c r="AJ41" s="157" t="str">
        <f t="shared" si="3"/>
        <v/>
      </c>
    </row>
    <row r="42" spans="1:36" ht="13.9" customHeight="1" thickBot="1" x14ac:dyDescent="0.3">
      <c r="A42" s="74">
        <v>31</v>
      </c>
      <c r="B42" s="75" t="str">
        <f>IF('4 Hourly RR Chart Reading'!B42="","",'4 Hourly RR Chart Reading'!B42)</f>
        <v/>
      </c>
      <c r="C42" s="176">
        <f>IF('4 Hourly RR Chart Reading'!C42="","",'4 Hourly RR Chart Reading'!C42)</f>
        <v>0</v>
      </c>
      <c r="D42" s="177">
        <f>IF('4 Hourly RR Chart Reading'!D42="","",'4 Hourly RR Chart Reading'!D42)</f>
        <v>0</v>
      </c>
      <c r="E42" s="177">
        <f>IF('4 Hourly RR Chart Reading'!E42="","",'4 Hourly RR Chart Reading'!E42)</f>
        <v>0</v>
      </c>
      <c r="F42" s="178">
        <f>IF('4 Hourly RR Chart Reading'!F42="","",'4 Hourly RR Chart Reading'!F42)</f>
        <v>0</v>
      </c>
      <c r="G42" s="179">
        <f>IF('4 Hourly RR Chart Reading'!G42="","",'4 Hourly RR Chart Reading'!G42)</f>
        <v>0</v>
      </c>
      <c r="H42" s="166" t="str">
        <f>IF('4 Hourly RR Chart Reading'!H42="","",'4 Hourly RR Chart Reading'!H42*'4 Hourly RR Chart Reading'!AK42)</f>
        <v/>
      </c>
      <c r="I42" s="131" t="str">
        <f>IF('4 Hourly RR Chart Reading'!I42="","",'4 Hourly RR Chart Reading'!I42*'4 Hourly RR Chart Reading'!AK42)</f>
        <v/>
      </c>
      <c r="J42" s="131" t="str">
        <f>IF('4 Hourly RR Chart Reading'!J42="","",'4 Hourly RR Chart Reading'!J42*'4 Hourly RR Chart Reading'!AK42)</f>
        <v/>
      </c>
      <c r="K42" s="131" t="str">
        <f>IF('4 Hourly RR Chart Reading'!K42="","",'4 Hourly RR Chart Reading'!K42*'4 Hourly RR Chart Reading'!AK42)</f>
        <v/>
      </c>
      <c r="L42" s="131" t="str">
        <f>IF('4 Hourly RR Chart Reading'!L42="","",'4 Hourly RR Chart Reading'!L42*'4 Hourly RR Chart Reading'!AK42)</f>
        <v/>
      </c>
      <c r="M42" s="132" t="str">
        <f>IF('4 Hourly RR Chart Reading'!M42="","",'4 Hourly RR Chart Reading'!M42*'4 Hourly RR Chart Reading'!AK42)</f>
        <v/>
      </c>
      <c r="N42" s="166" t="str">
        <f>IF('4 Hourly RR Chart Reading'!N42="","",'4 Hourly RR Chart Reading'!N42*'4 Hourly RR Chart Reading'!AL42)</f>
        <v/>
      </c>
      <c r="O42" s="131" t="str">
        <f>IF('4 Hourly RR Chart Reading'!O42="","",'4 Hourly RR Chart Reading'!O42*'4 Hourly RR Chart Reading'!AL42)</f>
        <v/>
      </c>
      <c r="P42" s="131" t="str">
        <f>IF('4 Hourly RR Chart Reading'!P42="","",'4 Hourly RR Chart Reading'!P42*'4 Hourly RR Chart Reading'!AL42)</f>
        <v/>
      </c>
      <c r="Q42" s="131" t="str">
        <f>IF('4 Hourly RR Chart Reading'!Q42="","",'4 Hourly RR Chart Reading'!Q42*'4 Hourly RR Chart Reading'!AL42)</f>
        <v/>
      </c>
      <c r="R42" s="131" t="str">
        <f>IF('4 Hourly RR Chart Reading'!R42="","",'4 Hourly RR Chart Reading'!R42*'4 Hourly RR Chart Reading'!AL42)</f>
        <v/>
      </c>
      <c r="S42" s="167" t="str">
        <f>IF('4 Hourly RR Chart Reading'!S42="","",'4 Hourly RR Chart Reading'!S42*'4 Hourly RR Chart Reading'!AL42)</f>
        <v/>
      </c>
      <c r="T42" s="130" t="str">
        <f>IF('4 Hourly RR Chart Reading'!T42="","",'4 Hourly RR Chart Reading'!T42*'4 Hourly RR Chart Reading'!AM42)</f>
        <v/>
      </c>
      <c r="U42" s="131" t="str">
        <f>IF('4 Hourly RR Chart Reading'!U42="","",'4 Hourly RR Chart Reading'!U42*'4 Hourly RR Chart Reading'!AM42)</f>
        <v/>
      </c>
      <c r="V42" s="131" t="str">
        <f>IF('4 Hourly RR Chart Reading'!V42="","",'4 Hourly RR Chart Reading'!V42*'4 Hourly RR Chart Reading'!AM42)</f>
        <v/>
      </c>
      <c r="W42" s="131" t="str">
        <f>IF('4 Hourly RR Chart Reading'!W42="","",'4 Hourly RR Chart Reading'!W42*'4 Hourly RR Chart Reading'!AM42)</f>
        <v/>
      </c>
      <c r="X42" s="131" t="str">
        <f>IF('4 Hourly RR Chart Reading'!X42="","",'4 Hourly RR Chart Reading'!X42*'4 Hourly RR Chart Reading'!AM42)</f>
        <v/>
      </c>
      <c r="Y42" s="132" t="str">
        <f>IF('4 Hourly RR Chart Reading'!Y42="","",'4 Hourly RR Chart Reading'!Y42*'4 Hourly RR Chart Reading'!AM42)</f>
        <v/>
      </c>
      <c r="Z42" s="166" t="str">
        <f>IF('4 Hourly RR Chart Reading'!Z42="","",'4 Hourly RR Chart Reading'!Z42*'4 Hourly RR Chart Reading'!AN42)</f>
        <v/>
      </c>
      <c r="AA42" s="131" t="str">
        <f>IF('4 Hourly RR Chart Reading'!AA42="","",'4 Hourly RR Chart Reading'!AA42*'4 Hourly RR Chart Reading'!AN42)</f>
        <v/>
      </c>
      <c r="AB42" s="131" t="str">
        <f>IF('4 Hourly RR Chart Reading'!AB42="","",'4 Hourly RR Chart Reading'!AB42*'4 Hourly RR Chart Reading'!AN42)</f>
        <v/>
      </c>
      <c r="AC42" s="131" t="str">
        <f>IF('4 Hourly RR Chart Reading'!AC42="","",'4 Hourly RR Chart Reading'!AC42*'4 Hourly RR Chart Reading'!AN42)</f>
        <v/>
      </c>
      <c r="AD42" s="131" t="str">
        <f>IF('4 Hourly RR Chart Reading'!AD42="","",'4 Hourly RR Chart Reading'!AD42*'4 Hourly RR Chart Reading'!AN42)</f>
        <v/>
      </c>
      <c r="AE42" s="132" t="str">
        <f>IF('4 Hourly RR Chart Reading'!AE42="","",'4 Hourly RR Chart Reading'!AE42*'4 Hourly RR Chart Reading'!AN42)</f>
        <v/>
      </c>
      <c r="AF42" s="151"/>
      <c r="AG42" s="158" t="str">
        <f t="shared" si="0"/>
        <v/>
      </c>
      <c r="AH42" s="159" t="str">
        <f t="shared" si="1"/>
        <v/>
      </c>
      <c r="AI42" s="159" t="str">
        <f t="shared" si="2"/>
        <v/>
      </c>
      <c r="AJ42" s="160" t="str">
        <f t="shared" si="3"/>
        <v/>
      </c>
    </row>
    <row r="43" spans="1:36" ht="13.7" customHeight="1" x14ac:dyDescent="0.25">
      <c r="A43" s="76"/>
      <c r="B43" s="76"/>
      <c r="AC43" s="66"/>
      <c r="AD43" s="66"/>
      <c r="AE43" s="66"/>
      <c r="AF43" s="66"/>
    </row>
    <row r="44" spans="1:36" ht="12" customHeight="1" x14ac:dyDescent="0.25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</row>
    <row r="45" spans="1:36" s="198" customFormat="1" ht="12" x14ac:dyDescent="0.2">
      <c r="A45" s="358" t="s">
        <v>46</v>
      </c>
      <c r="B45" s="358"/>
      <c r="C45" s="358"/>
      <c r="D45" s="358"/>
      <c r="E45" s="359" t="str">
        <f>IF('4 Hourly RR Chart Reading'!E45:G45="","",'4 Hourly RR Chart Reading'!E45:G45)</f>
        <v/>
      </c>
      <c r="F45" s="359"/>
      <c r="G45" s="359"/>
      <c r="H45" s="197" t="s">
        <v>9</v>
      </c>
      <c r="I45" s="359" t="str">
        <f>IF('4 Hourly RR Chart Reading'!I45:K45="","",'4 Hourly RR Chart Reading'!I45:K45)</f>
        <v/>
      </c>
      <c r="J45" s="359"/>
      <c r="K45" s="359"/>
      <c r="L45" s="358" t="s">
        <v>47</v>
      </c>
      <c r="M45" s="358"/>
      <c r="N45" s="358"/>
      <c r="O45" s="359" t="str">
        <f>IF('4 Hourly RR Chart Reading'!O45:Q45="","",'4 Hourly RR Chart Reading'!O45:Q45)</f>
        <v/>
      </c>
      <c r="P45" s="359"/>
      <c r="Q45" s="359"/>
      <c r="R45" s="197" t="s">
        <v>48</v>
      </c>
      <c r="S45" s="359" t="str">
        <f>IF('4 Hourly RR Chart Reading'!S45:U45="","",'4 Hourly RR Chart Reading'!S45:U45)</f>
        <v/>
      </c>
      <c r="T45" s="359"/>
      <c r="U45" s="359"/>
      <c r="V45" s="197" t="s">
        <v>49</v>
      </c>
      <c r="W45" s="197"/>
      <c r="X45" s="197"/>
      <c r="Y45" s="359" t="str">
        <f>IF('4 Hourly RR Chart Reading'!Y45:AA45="","",'4 Hourly RR Chart Reading'!Y45:AA45)</f>
        <v/>
      </c>
      <c r="Z45" s="359"/>
      <c r="AA45" s="359"/>
      <c r="AB45" s="197" t="s">
        <v>50</v>
      </c>
      <c r="AC45" s="359" t="str">
        <f>IF('4 Hourly RR Chart Reading'!AC45:AE45="","",'4 Hourly RR Chart Reading'!AC45:AE45)</f>
        <v/>
      </c>
      <c r="AD45" s="359"/>
      <c r="AE45" s="359"/>
      <c r="AF45" s="197"/>
      <c r="AG45" s="197"/>
    </row>
    <row r="46" spans="1:36" x14ac:dyDescent="0.25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</row>
  </sheetData>
  <mergeCells count="17">
    <mergeCell ref="AD2:AE2"/>
    <mergeCell ref="AB4:AC4"/>
    <mergeCell ref="A9:A11"/>
    <mergeCell ref="B9:G10"/>
    <mergeCell ref="H9:AE10"/>
    <mergeCell ref="AG9:AJ10"/>
    <mergeCell ref="X4:Z4"/>
    <mergeCell ref="X7:Z7"/>
    <mergeCell ref="AB7:AC7"/>
    <mergeCell ref="A45:D45"/>
    <mergeCell ref="L45:N45"/>
    <mergeCell ref="S45:U45"/>
    <mergeCell ref="Y45:AA45"/>
    <mergeCell ref="AC45:AE45"/>
    <mergeCell ref="E45:G45"/>
    <mergeCell ref="I45:K45"/>
    <mergeCell ref="O45:Q45"/>
  </mergeCells>
  <conditionalFormatting sqref="C12:G42">
    <cfRule type="cellIs" dxfId="6" priority="5" stopIfTrue="1" operator="greaterThan">
      <formula>0</formula>
    </cfRule>
  </conditionalFormatting>
  <conditionalFormatting sqref="H12:AE42">
    <cfRule type="cellIs" dxfId="5" priority="6" operator="greaterThan">
      <formula>0</formula>
    </cfRule>
  </conditionalFormatting>
  <conditionalFormatting sqref="AG12:AJ42">
    <cfRule type="cellIs" dxfId="4" priority="1" operator="greaterThan">
      <formula>0</formula>
    </cfRule>
    <cfRule type="cellIs" dxfId="3" priority="2" operator="equal">
      <formula>0</formula>
    </cfRule>
    <cfRule type="cellIs" dxfId="2" priority="3" operator="lessThan">
      <formula>200</formula>
    </cfRule>
    <cfRule type="cellIs" dxfId="1" priority="4" operator="equal">
      <formula>0</formula>
    </cfRule>
  </conditionalFormatting>
  <printOptions horizontalCentered="1" verticalCentered="1"/>
  <pageMargins left="0" right="0.9" top="0.25" bottom="0" header="0.3" footer="0.3"/>
  <pageSetup paperSize="5" orientation="landscape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14F7A-110C-4E55-BA05-AA82C28EC1EE}">
  <sheetPr codeName="Sheet6">
    <tabColor theme="5" tint="0.59999389629810485"/>
  </sheetPr>
  <dimension ref="A1:AF150"/>
  <sheetViews>
    <sheetView zoomScale="85" zoomScaleNormal="85" workbookViewId="0">
      <selection activeCell="AA36" sqref="AA36"/>
    </sheetView>
  </sheetViews>
  <sheetFormatPr defaultRowHeight="15" x14ac:dyDescent="0.25"/>
  <cols>
    <col min="2" max="33" width="5.85546875" customWidth="1"/>
  </cols>
  <sheetData>
    <row r="1" spans="1:32" x14ac:dyDescent="0.25">
      <c r="A1" s="1" t="s">
        <v>379</v>
      </c>
    </row>
    <row r="2" spans="1:32" x14ac:dyDescent="0.25">
      <c r="A2" t="s">
        <v>374</v>
      </c>
      <c r="B2" s="377" t="str">
        <f>'3 Corr Monthly RR Max'!N4</f>
        <v>Station</v>
      </c>
      <c r="C2" s="377"/>
      <c r="D2" s="377"/>
      <c r="E2" s="271"/>
      <c r="F2" t="s">
        <v>232</v>
      </c>
      <c r="G2" s="270" t="str">
        <f>'3 Corr Monthly RR Max'!Q4</f>
        <v/>
      </c>
    </row>
    <row r="3" spans="1:32" x14ac:dyDescent="0.25">
      <c r="A3" t="s">
        <v>373</v>
      </c>
      <c r="B3" s="269" t="str">
        <f>'1 Pattern 10min  Chart Reading'!C2</f>
        <v>MMM</v>
      </c>
      <c r="C3" s="269"/>
      <c r="F3" t="s">
        <v>372</v>
      </c>
      <c r="G3" s="269" t="str">
        <f>'3 Corr Monthly RR Max'!Q7</f>
        <v>YYYY</v>
      </c>
    </row>
    <row r="4" spans="1:32" x14ac:dyDescent="0.25">
      <c r="A4" s="378" t="s">
        <v>371</v>
      </c>
      <c r="B4" s="378" t="s">
        <v>370</v>
      </c>
      <c r="C4" s="378"/>
      <c r="D4" s="378"/>
      <c r="E4" s="378"/>
      <c r="F4" s="378"/>
      <c r="G4" s="378"/>
      <c r="H4" s="378"/>
      <c r="I4" s="378"/>
      <c r="J4" s="378"/>
      <c r="K4" s="378"/>
      <c r="L4" s="378"/>
      <c r="M4" s="378"/>
      <c r="N4" s="378"/>
      <c r="O4" s="378"/>
      <c r="P4" s="378"/>
      <c r="Q4" s="378"/>
      <c r="R4" s="378"/>
      <c r="S4" s="378"/>
      <c r="T4" s="378"/>
      <c r="U4" s="378"/>
      <c r="V4" s="378"/>
      <c r="W4" s="378"/>
      <c r="X4" s="378"/>
      <c r="Y4" s="378"/>
      <c r="Z4" s="378"/>
      <c r="AA4" s="378"/>
      <c r="AB4" s="378"/>
      <c r="AC4" s="378"/>
      <c r="AD4" s="378"/>
      <c r="AE4" s="378"/>
      <c r="AF4" s="378"/>
    </row>
    <row r="5" spans="1:32" x14ac:dyDescent="0.25">
      <c r="A5" s="378"/>
      <c r="B5" s="268">
        <v>1</v>
      </c>
      <c r="C5" s="268">
        <v>2</v>
      </c>
      <c r="D5" s="268">
        <v>3</v>
      </c>
      <c r="E5" s="268">
        <v>4</v>
      </c>
      <c r="F5" s="268">
        <v>5</v>
      </c>
      <c r="G5" s="268">
        <v>6</v>
      </c>
      <c r="H5" s="268">
        <v>7</v>
      </c>
      <c r="I5" s="268">
        <v>8</v>
      </c>
      <c r="J5" s="268">
        <v>9</v>
      </c>
      <c r="K5" s="268">
        <v>10</v>
      </c>
      <c r="L5" s="268">
        <v>11</v>
      </c>
      <c r="M5" s="268">
        <v>12</v>
      </c>
      <c r="N5" s="268">
        <v>13</v>
      </c>
      <c r="O5" s="268">
        <v>14</v>
      </c>
      <c r="P5" s="268">
        <v>15</v>
      </c>
      <c r="Q5" s="268">
        <v>16</v>
      </c>
      <c r="R5" s="268">
        <v>17</v>
      </c>
      <c r="S5" s="268">
        <v>18</v>
      </c>
      <c r="T5" s="268">
        <v>19</v>
      </c>
      <c r="U5" s="268">
        <v>20</v>
      </c>
      <c r="V5" s="268">
        <v>21</v>
      </c>
      <c r="W5" s="268">
        <v>22</v>
      </c>
      <c r="X5" s="268">
        <v>23</v>
      </c>
      <c r="Y5" s="268">
        <v>24</v>
      </c>
      <c r="Z5" s="268">
        <v>25</v>
      </c>
      <c r="AA5" s="268">
        <v>26</v>
      </c>
      <c r="AB5" s="268">
        <v>27</v>
      </c>
      <c r="AC5" s="268">
        <v>28</v>
      </c>
      <c r="AD5" s="268">
        <v>29</v>
      </c>
      <c r="AE5" s="268">
        <v>30</v>
      </c>
      <c r="AF5" s="268">
        <v>31</v>
      </c>
    </row>
    <row r="6" spans="1:32" x14ac:dyDescent="0.25">
      <c r="A6" s="266">
        <v>800</v>
      </c>
      <c r="B6" s="276"/>
      <c r="C6" s="276"/>
      <c r="D6" s="276"/>
      <c r="E6" s="276"/>
      <c r="F6" s="276"/>
      <c r="G6" s="276"/>
      <c r="H6" s="276"/>
      <c r="I6" s="276"/>
      <c r="J6" s="276"/>
      <c r="K6" s="276"/>
      <c r="L6" s="276"/>
      <c r="M6" s="276"/>
      <c r="N6" s="276"/>
      <c r="O6" s="276"/>
      <c r="P6" s="276"/>
      <c r="Q6" s="276"/>
      <c r="R6" s="276"/>
      <c r="S6" s="276"/>
      <c r="T6" s="276"/>
      <c r="U6" s="276"/>
      <c r="V6" s="276"/>
      <c r="W6" s="276"/>
      <c r="X6" s="276"/>
      <c r="Y6" s="276"/>
      <c r="Z6" s="276"/>
      <c r="AA6" s="276"/>
      <c r="AB6" s="276"/>
      <c r="AC6" s="276"/>
      <c r="AD6" s="276"/>
      <c r="AE6" s="276"/>
      <c r="AF6" s="276"/>
    </row>
    <row r="7" spans="1:32" x14ac:dyDescent="0.25">
      <c r="A7" s="266">
        <v>810</v>
      </c>
      <c r="B7" s="276"/>
      <c r="C7" s="276"/>
      <c r="D7" s="276"/>
      <c r="E7" s="276"/>
      <c r="F7" s="276"/>
      <c r="G7" s="276"/>
      <c r="H7" s="276"/>
      <c r="I7" s="276"/>
      <c r="J7" s="276"/>
      <c r="K7" s="276"/>
      <c r="L7" s="276"/>
      <c r="M7" s="276"/>
      <c r="N7" s="276"/>
      <c r="O7" s="276"/>
      <c r="P7" s="276"/>
      <c r="Q7" s="276"/>
      <c r="R7" s="276"/>
      <c r="S7" s="276"/>
      <c r="T7" s="276"/>
      <c r="U7" s="276"/>
      <c r="V7" s="276"/>
      <c r="W7" s="276"/>
      <c r="X7" s="276"/>
      <c r="Y7" s="276"/>
      <c r="Z7" s="276"/>
      <c r="AA7" s="276"/>
      <c r="AB7" s="276"/>
      <c r="AC7" s="276"/>
      <c r="AD7" s="276"/>
      <c r="AE7" s="276"/>
      <c r="AF7" s="276"/>
    </row>
    <row r="8" spans="1:32" x14ac:dyDescent="0.25">
      <c r="A8" s="266">
        <v>820</v>
      </c>
      <c r="B8" s="276"/>
      <c r="C8" s="276"/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6"/>
      <c r="R8" s="276"/>
      <c r="S8" s="276"/>
      <c r="T8" s="276"/>
      <c r="U8" s="276"/>
      <c r="V8" s="276"/>
      <c r="W8" s="276"/>
      <c r="X8" s="276"/>
      <c r="Y8" s="276"/>
      <c r="Z8" s="276"/>
      <c r="AA8" s="276"/>
      <c r="AB8" s="276"/>
      <c r="AC8" s="276"/>
      <c r="AD8" s="276"/>
      <c r="AE8" s="276"/>
      <c r="AF8" s="276"/>
    </row>
    <row r="9" spans="1:32" x14ac:dyDescent="0.25">
      <c r="A9" s="266">
        <v>830</v>
      </c>
      <c r="B9" s="276"/>
      <c r="C9" s="276"/>
      <c r="D9" s="276"/>
      <c r="E9" s="276"/>
      <c r="F9" s="276"/>
      <c r="G9" s="276"/>
      <c r="H9" s="276"/>
      <c r="I9" s="276"/>
      <c r="J9" s="276"/>
      <c r="K9" s="276"/>
      <c r="L9" s="276"/>
      <c r="M9" s="276"/>
      <c r="N9" s="276"/>
      <c r="O9" s="276"/>
      <c r="P9" s="276"/>
      <c r="Q9" s="276"/>
      <c r="R9" s="276"/>
      <c r="S9" s="276"/>
      <c r="T9" s="276"/>
      <c r="U9" s="276"/>
      <c r="V9" s="276"/>
      <c r="W9" s="276"/>
      <c r="X9" s="276"/>
      <c r="Y9" s="276"/>
      <c r="Z9" s="276"/>
      <c r="AA9" s="276"/>
      <c r="AB9" s="276"/>
      <c r="AC9" s="276"/>
      <c r="AD9" s="276"/>
      <c r="AE9" s="276"/>
      <c r="AF9" s="276"/>
    </row>
    <row r="10" spans="1:32" x14ac:dyDescent="0.25">
      <c r="A10" s="266">
        <v>840</v>
      </c>
      <c r="B10" s="276"/>
      <c r="C10" s="276"/>
      <c r="D10" s="276"/>
      <c r="E10" s="276"/>
      <c r="F10" s="276"/>
      <c r="G10" s="276"/>
      <c r="H10" s="276"/>
      <c r="I10" s="276"/>
      <c r="J10" s="276"/>
      <c r="K10" s="276"/>
      <c r="L10" s="276"/>
      <c r="M10" s="276"/>
      <c r="N10" s="276"/>
      <c r="O10" s="276"/>
      <c r="P10" s="276"/>
      <c r="Q10" s="276"/>
      <c r="R10" s="276"/>
      <c r="S10" s="276"/>
      <c r="T10" s="276"/>
      <c r="U10" s="276"/>
      <c r="V10" s="276"/>
      <c r="W10" s="276"/>
      <c r="X10" s="276"/>
      <c r="Y10" s="276"/>
      <c r="Z10" s="276"/>
      <c r="AA10" s="276"/>
      <c r="AB10" s="276"/>
      <c r="AC10" s="276"/>
      <c r="AD10" s="276"/>
      <c r="AE10" s="276"/>
      <c r="AF10" s="276"/>
    </row>
    <row r="11" spans="1:32" x14ac:dyDescent="0.25">
      <c r="A11" s="266">
        <v>850</v>
      </c>
      <c r="B11" s="276"/>
      <c r="C11" s="276"/>
      <c r="D11" s="276"/>
      <c r="E11" s="276"/>
      <c r="F11" s="276"/>
      <c r="G11" s="276"/>
      <c r="H11" s="276"/>
      <c r="I11" s="276"/>
      <c r="J11" s="276"/>
      <c r="K11" s="276"/>
      <c r="L11" s="276"/>
      <c r="M11" s="276"/>
      <c r="N11" s="276"/>
      <c r="O11" s="276"/>
      <c r="P11" s="276"/>
      <c r="Q11" s="276"/>
      <c r="R11" s="276"/>
      <c r="S11" s="276"/>
      <c r="T11" s="276"/>
      <c r="U11" s="276"/>
      <c r="V11" s="276"/>
      <c r="W11" s="276"/>
      <c r="X11" s="276"/>
      <c r="Y11" s="276"/>
      <c r="Z11" s="276"/>
      <c r="AA11" s="276"/>
      <c r="AB11" s="276"/>
      <c r="AC11" s="276"/>
      <c r="AD11" s="276"/>
      <c r="AE11" s="276"/>
      <c r="AF11" s="276"/>
    </row>
    <row r="12" spans="1:32" x14ac:dyDescent="0.25">
      <c r="A12" s="266">
        <v>900</v>
      </c>
      <c r="B12" s="276"/>
      <c r="C12" s="276"/>
      <c r="D12" s="276"/>
      <c r="E12" s="276"/>
      <c r="F12" s="276"/>
      <c r="G12" s="276"/>
      <c r="H12" s="276"/>
      <c r="I12" s="276"/>
      <c r="J12" s="276"/>
      <c r="K12" s="276"/>
      <c r="L12" s="276"/>
      <c r="M12" s="276"/>
      <c r="N12" s="276"/>
      <c r="O12" s="276"/>
      <c r="P12" s="276"/>
      <c r="Q12" s="276"/>
      <c r="R12" s="276"/>
      <c r="S12" s="276"/>
      <c r="T12" s="276"/>
      <c r="U12" s="276"/>
      <c r="V12" s="276"/>
      <c r="W12" s="276"/>
      <c r="X12" s="276"/>
      <c r="Y12" s="276"/>
      <c r="Z12" s="276"/>
      <c r="AA12" s="276"/>
      <c r="AB12" s="276"/>
      <c r="AC12" s="276"/>
      <c r="AD12" s="276"/>
      <c r="AE12" s="276"/>
      <c r="AF12" s="276"/>
    </row>
    <row r="13" spans="1:32" x14ac:dyDescent="0.25">
      <c r="A13" s="266">
        <v>910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6"/>
      <c r="P13" s="276"/>
      <c r="Q13" s="276"/>
      <c r="R13" s="276"/>
      <c r="S13" s="276"/>
      <c r="T13" s="276"/>
      <c r="U13" s="276"/>
      <c r="V13" s="276"/>
      <c r="W13" s="276"/>
      <c r="X13" s="276"/>
      <c r="Y13" s="276"/>
      <c r="Z13" s="276"/>
      <c r="AA13" s="276"/>
      <c r="AB13" s="276"/>
      <c r="AC13" s="276"/>
      <c r="AD13" s="276"/>
      <c r="AE13" s="276"/>
      <c r="AF13" s="276"/>
    </row>
    <row r="14" spans="1:32" x14ac:dyDescent="0.25">
      <c r="A14" s="266">
        <v>920</v>
      </c>
      <c r="B14" s="276"/>
      <c r="C14" s="276"/>
      <c r="D14" s="276"/>
      <c r="E14" s="276"/>
      <c r="F14" s="276"/>
      <c r="G14" s="276"/>
      <c r="H14" s="276"/>
      <c r="I14" s="276"/>
      <c r="J14" s="276"/>
      <c r="K14" s="276"/>
      <c r="L14" s="276"/>
      <c r="M14" s="276"/>
      <c r="N14" s="276"/>
      <c r="O14" s="276"/>
      <c r="P14" s="276"/>
      <c r="Q14" s="276"/>
      <c r="R14" s="276"/>
      <c r="S14" s="276"/>
      <c r="T14" s="276"/>
      <c r="U14" s="276"/>
      <c r="V14" s="276"/>
      <c r="W14" s="276"/>
      <c r="X14" s="276"/>
      <c r="Y14" s="276"/>
      <c r="Z14" s="276"/>
      <c r="AA14" s="276"/>
      <c r="AB14" s="276"/>
      <c r="AC14" s="276"/>
      <c r="AD14" s="276"/>
      <c r="AE14" s="276"/>
      <c r="AF14" s="276"/>
    </row>
    <row r="15" spans="1:32" x14ac:dyDescent="0.25">
      <c r="A15" s="266">
        <v>930</v>
      </c>
      <c r="B15" s="276"/>
      <c r="C15" s="276"/>
      <c r="D15" s="276"/>
      <c r="E15" s="276"/>
      <c r="F15" s="276"/>
      <c r="G15" s="276"/>
      <c r="H15" s="276"/>
      <c r="I15" s="276"/>
      <c r="J15" s="276"/>
      <c r="K15" s="276"/>
      <c r="L15" s="276"/>
      <c r="M15" s="276"/>
      <c r="N15" s="276"/>
      <c r="O15" s="276"/>
      <c r="P15" s="276"/>
      <c r="Q15" s="276"/>
      <c r="R15" s="276"/>
      <c r="S15" s="276"/>
      <c r="T15" s="276"/>
      <c r="U15" s="276"/>
      <c r="V15" s="276"/>
      <c r="W15" s="276"/>
      <c r="X15" s="276"/>
      <c r="Y15" s="276"/>
      <c r="Z15" s="276"/>
      <c r="AA15" s="276"/>
      <c r="AB15" s="276"/>
      <c r="AC15" s="276"/>
      <c r="AD15" s="276"/>
      <c r="AE15" s="276"/>
      <c r="AF15" s="276"/>
    </row>
    <row r="16" spans="1:32" x14ac:dyDescent="0.25">
      <c r="A16" s="266">
        <v>940</v>
      </c>
      <c r="B16" s="276"/>
      <c r="C16" s="276"/>
      <c r="D16" s="276"/>
      <c r="E16" s="276"/>
      <c r="F16" s="276"/>
      <c r="G16" s="276"/>
      <c r="H16" s="276"/>
      <c r="I16" s="276"/>
      <c r="J16" s="276"/>
      <c r="K16" s="276"/>
      <c r="L16" s="276"/>
      <c r="M16" s="276"/>
      <c r="N16" s="276"/>
      <c r="O16" s="276"/>
      <c r="P16" s="276"/>
      <c r="Q16" s="276"/>
      <c r="R16" s="276"/>
      <c r="S16" s="276"/>
      <c r="T16" s="276"/>
      <c r="U16" s="276"/>
      <c r="V16" s="276"/>
      <c r="W16" s="276"/>
      <c r="X16" s="276"/>
      <c r="Y16" s="276"/>
      <c r="Z16" s="276"/>
      <c r="AA16" s="276"/>
      <c r="AB16" s="276"/>
      <c r="AC16" s="276"/>
      <c r="AD16" s="276"/>
      <c r="AE16" s="276"/>
      <c r="AF16" s="276"/>
    </row>
    <row r="17" spans="1:32" x14ac:dyDescent="0.25">
      <c r="A17" s="266">
        <v>950</v>
      </c>
      <c r="B17" s="276"/>
      <c r="C17" s="276"/>
      <c r="D17" s="276"/>
      <c r="E17" s="276"/>
      <c r="F17" s="276"/>
      <c r="G17" s="276"/>
      <c r="H17" s="276"/>
      <c r="I17" s="276"/>
      <c r="J17" s="276"/>
      <c r="K17" s="276"/>
      <c r="L17" s="276"/>
      <c r="M17" s="276"/>
      <c r="N17" s="276"/>
      <c r="O17" s="276"/>
      <c r="P17" s="276"/>
      <c r="Q17" s="276"/>
      <c r="R17" s="276"/>
      <c r="S17" s="276"/>
      <c r="T17" s="276"/>
      <c r="U17" s="276"/>
      <c r="V17" s="276"/>
      <c r="W17" s="276"/>
      <c r="X17" s="276"/>
      <c r="Y17" s="276"/>
      <c r="Z17" s="276"/>
      <c r="AA17" s="276"/>
      <c r="AB17" s="276"/>
      <c r="AC17" s="276"/>
      <c r="AD17" s="276"/>
      <c r="AE17" s="276"/>
      <c r="AF17" s="276"/>
    </row>
    <row r="18" spans="1:32" x14ac:dyDescent="0.25">
      <c r="A18" s="267">
        <v>1000</v>
      </c>
      <c r="B18" s="276"/>
      <c r="C18" s="276"/>
      <c r="D18" s="276"/>
      <c r="E18" s="276"/>
      <c r="F18" s="276"/>
      <c r="G18" s="276"/>
      <c r="H18" s="276"/>
      <c r="I18" s="276"/>
      <c r="J18" s="276"/>
      <c r="K18" s="276"/>
      <c r="L18" s="276"/>
      <c r="M18" s="276"/>
      <c r="N18" s="276"/>
      <c r="O18" s="276"/>
      <c r="P18" s="276"/>
      <c r="Q18" s="276"/>
      <c r="R18" s="276"/>
      <c r="S18" s="276"/>
      <c r="T18" s="276"/>
      <c r="U18" s="276"/>
      <c r="V18" s="276"/>
      <c r="W18" s="276"/>
      <c r="X18" s="276"/>
      <c r="Y18" s="276"/>
      <c r="Z18" s="276"/>
      <c r="AA18" s="276"/>
      <c r="AB18" s="276"/>
      <c r="AC18" s="276"/>
      <c r="AD18" s="276"/>
      <c r="AE18" s="276"/>
      <c r="AF18" s="276"/>
    </row>
    <row r="19" spans="1:32" x14ac:dyDescent="0.25">
      <c r="A19" s="267">
        <v>1010</v>
      </c>
      <c r="B19" s="276"/>
      <c r="C19" s="276"/>
      <c r="D19" s="276"/>
      <c r="E19" s="276"/>
      <c r="F19" s="276"/>
      <c r="G19" s="276"/>
      <c r="H19" s="276"/>
      <c r="I19" s="276"/>
      <c r="J19" s="276"/>
      <c r="K19" s="276"/>
      <c r="L19" s="276"/>
      <c r="M19" s="276"/>
      <c r="N19" s="276"/>
      <c r="O19" s="276"/>
      <c r="P19" s="276"/>
      <c r="Q19" s="276"/>
      <c r="R19" s="276"/>
      <c r="S19" s="276"/>
      <c r="T19" s="276"/>
      <c r="U19" s="276"/>
      <c r="V19" s="276"/>
      <c r="W19" s="276"/>
      <c r="X19" s="276"/>
      <c r="Y19" s="276"/>
      <c r="Z19" s="276"/>
      <c r="AA19" s="276"/>
      <c r="AB19" s="276"/>
      <c r="AC19" s="276"/>
      <c r="AD19" s="276"/>
      <c r="AE19" s="276"/>
      <c r="AF19" s="276"/>
    </row>
    <row r="20" spans="1:32" x14ac:dyDescent="0.25">
      <c r="A20" s="267">
        <v>1020</v>
      </c>
      <c r="B20" s="276"/>
      <c r="C20" s="276"/>
      <c r="D20" s="276"/>
      <c r="E20" s="276"/>
      <c r="F20" s="276"/>
      <c r="G20" s="276"/>
      <c r="H20" s="276"/>
      <c r="I20" s="276"/>
      <c r="J20" s="276"/>
      <c r="K20" s="276"/>
      <c r="L20" s="276"/>
      <c r="M20" s="276"/>
      <c r="N20" s="276"/>
      <c r="O20" s="276"/>
      <c r="P20" s="276"/>
      <c r="Q20" s="276"/>
      <c r="R20" s="276"/>
      <c r="S20" s="276"/>
      <c r="T20" s="276"/>
      <c r="U20" s="276"/>
      <c r="V20" s="276"/>
      <c r="W20" s="276"/>
      <c r="X20" s="276"/>
      <c r="Y20" s="276"/>
      <c r="Z20" s="276"/>
      <c r="AA20" s="276"/>
      <c r="AB20" s="276"/>
      <c r="AC20" s="276"/>
      <c r="AD20" s="276"/>
      <c r="AE20" s="276"/>
      <c r="AF20" s="276"/>
    </row>
    <row r="21" spans="1:32" x14ac:dyDescent="0.25">
      <c r="A21" s="267">
        <v>1030</v>
      </c>
      <c r="B21" s="276"/>
      <c r="C21" s="276"/>
      <c r="D21" s="276"/>
      <c r="E21" s="276"/>
      <c r="F21" s="276"/>
      <c r="G21" s="276"/>
      <c r="H21" s="276"/>
      <c r="I21" s="276"/>
      <c r="J21" s="276"/>
      <c r="K21" s="276"/>
      <c r="L21" s="276"/>
      <c r="M21" s="276"/>
      <c r="N21" s="276"/>
      <c r="O21" s="276"/>
      <c r="P21" s="276"/>
      <c r="Q21" s="276"/>
      <c r="R21" s="276"/>
      <c r="S21" s="276"/>
      <c r="T21" s="276"/>
      <c r="U21" s="276"/>
      <c r="V21" s="276"/>
      <c r="W21" s="276"/>
      <c r="X21" s="276"/>
      <c r="Y21" s="276"/>
      <c r="Z21" s="276"/>
      <c r="AA21" s="276"/>
      <c r="AB21" s="276"/>
      <c r="AC21" s="276"/>
      <c r="AD21" s="276"/>
      <c r="AE21" s="276"/>
      <c r="AF21" s="276"/>
    </row>
    <row r="22" spans="1:32" x14ac:dyDescent="0.25">
      <c r="A22" s="267">
        <v>1040</v>
      </c>
      <c r="B22" s="276"/>
      <c r="C22" s="276"/>
      <c r="D22" s="276"/>
      <c r="E22" s="276"/>
      <c r="F22" s="276"/>
      <c r="G22" s="276"/>
      <c r="H22" s="276"/>
      <c r="I22" s="276"/>
      <c r="J22" s="276"/>
      <c r="K22" s="276"/>
      <c r="L22" s="276"/>
      <c r="M22" s="276"/>
      <c r="N22" s="276"/>
      <c r="O22" s="276"/>
      <c r="P22" s="276"/>
      <c r="Q22" s="276"/>
      <c r="R22" s="276"/>
      <c r="S22" s="276"/>
      <c r="T22" s="276"/>
      <c r="U22" s="276"/>
      <c r="V22" s="276"/>
      <c r="W22" s="276"/>
      <c r="X22" s="276"/>
      <c r="Y22" s="276"/>
      <c r="Z22" s="276"/>
      <c r="AA22" s="276"/>
      <c r="AB22" s="276"/>
      <c r="AC22" s="276"/>
      <c r="AD22" s="276"/>
      <c r="AE22" s="276"/>
      <c r="AF22" s="276"/>
    </row>
    <row r="23" spans="1:32" x14ac:dyDescent="0.25">
      <c r="A23" s="267">
        <v>1050</v>
      </c>
      <c r="B23" s="276"/>
      <c r="C23" s="276"/>
      <c r="D23" s="276"/>
      <c r="E23" s="276"/>
      <c r="F23" s="276"/>
      <c r="G23" s="276"/>
      <c r="H23" s="276"/>
      <c r="I23" s="276"/>
      <c r="J23" s="276"/>
      <c r="K23" s="276"/>
      <c r="L23" s="276"/>
      <c r="M23" s="276"/>
      <c r="N23" s="276"/>
      <c r="O23" s="276"/>
      <c r="P23" s="276"/>
      <c r="Q23" s="276"/>
      <c r="R23" s="276"/>
      <c r="S23" s="276"/>
      <c r="T23" s="276"/>
      <c r="U23" s="276"/>
      <c r="V23" s="276"/>
      <c r="W23" s="276"/>
      <c r="X23" s="276"/>
      <c r="Y23" s="276"/>
      <c r="Z23" s="276"/>
      <c r="AA23" s="276"/>
      <c r="AB23" s="276"/>
      <c r="AC23" s="276"/>
      <c r="AD23" s="276"/>
      <c r="AE23" s="276"/>
      <c r="AF23" s="276"/>
    </row>
    <row r="24" spans="1:32" x14ac:dyDescent="0.25">
      <c r="A24" s="267">
        <v>1100</v>
      </c>
      <c r="B24" s="276"/>
      <c r="C24" s="276"/>
      <c r="D24" s="276"/>
      <c r="E24" s="276"/>
      <c r="F24" s="276"/>
      <c r="G24" s="276"/>
      <c r="H24" s="276"/>
      <c r="I24" s="276"/>
      <c r="J24" s="276"/>
      <c r="K24" s="276"/>
      <c r="L24" s="276"/>
      <c r="M24" s="276"/>
      <c r="N24" s="276"/>
      <c r="O24" s="276"/>
      <c r="P24" s="276"/>
      <c r="Q24" s="276"/>
      <c r="R24" s="276"/>
      <c r="S24" s="276"/>
      <c r="T24" s="276"/>
      <c r="U24" s="276"/>
      <c r="V24" s="276"/>
      <c r="W24" s="276"/>
      <c r="X24" s="276"/>
      <c r="Y24" s="276"/>
      <c r="Z24" s="276"/>
      <c r="AA24" s="276"/>
      <c r="AB24" s="276"/>
      <c r="AC24" s="276"/>
      <c r="AD24" s="276"/>
      <c r="AE24" s="276"/>
      <c r="AF24" s="276"/>
    </row>
    <row r="25" spans="1:32" x14ac:dyDescent="0.25">
      <c r="A25" s="267">
        <v>1110</v>
      </c>
      <c r="B25" s="276"/>
      <c r="C25" s="276"/>
      <c r="D25" s="276"/>
      <c r="E25" s="276"/>
      <c r="F25" s="276"/>
      <c r="G25" s="276"/>
      <c r="H25" s="276"/>
      <c r="I25" s="276"/>
      <c r="J25" s="276"/>
      <c r="K25" s="276"/>
      <c r="L25" s="276"/>
      <c r="M25" s="276"/>
      <c r="N25" s="276"/>
      <c r="O25" s="276"/>
      <c r="P25" s="276"/>
      <c r="Q25" s="276"/>
      <c r="R25" s="276"/>
      <c r="S25" s="276"/>
      <c r="T25" s="276"/>
      <c r="U25" s="276"/>
      <c r="V25" s="276"/>
      <c r="W25" s="276"/>
      <c r="X25" s="276"/>
      <c r="Y25" s="276"/>
      <c r="Z25" s="276"/>
      <c r="AA25" s="276"/>
      <c r="AB25" s="276"/>
      <c r="AC25" s="276"/>
      <c r="AD25" s="276"/>
      <c r="AE25" s="276"/>
      <c r="AF25" s="276"/>
    </row>
    <row r="26" spans="1:32" x14ac:dyDescent="0.25">
      <c r="A26" s="267">
        <v>1120</v>
      </c>
      <c r="B26" s="276"/>
      <c r="C26" s="276"/>
      <c r="D26" s="276"/>
      <c r="E26" s="276"/>
      <c r="F26" s="276"/>
      <c r="G26" s="276"/>
      <c r="H26" s="276"/>
      <c r="I26" s="276"/>
      <c r="J26" s="276"/>
      <c r="K26" s="276"/>
      <c r="L26" s="276"/>
      <c r="M26" s="276"/>
      <c r="N26" s="276"/>
      <c r="O26" s="276"/>
      <c r="P26" s="276"/>
      <c r="Q26" s="276"/>
      <c r="R26" s="276"/>
      <c r="S26" s="276"/>
      <c r="T26" s="276"/>
      <c r="U26" s="276"/>
      <c r="V26" s="276"/>
      <c r="W26" s="276"/>
      <c r="X26" s="276"/>
      <c r="Y26" s="276"/>
      <c r="Z26" s="276"/>
      <c r="AA26" s="276"/>
      <c r="AB26" s="276"/>
      <c r="AC26" s="276"/>
      <c r="AD26" s="276"/>
      <c r="AE26" s="276"/>
      <c r="AF26" s="276"/>
    </row>
    <row r="27" spans="1:32" x14ac:dyDescent="0.25">
      <c r="A27" s="267">
        <v>1130</v>
      </c>
      <c r="B27" s="276"/>
      <c r="C27" s="276"/>
      <c r="D27" s="276"/>
      <c r="E27" s="276"/>
      <c r="F27" s="276"/>
      <c r="G27" s="276"/>
      <c r="H27" s="276"/>
      <c r="I27" s="276"/>
      <c r="J27" s="276"/>
      <c r="K27" s="276"/>
      <c r="L27" s="276"/>
      <c r="M27" s="276"/>
      <c r="N27" s="276"/>
      <c r="O27" s="276"/>
      <c r="P27" s="276"/>
      <c r="Q27" s="276"/>
      <c r="R27" s="276"/>
      <c r="S27" s="276"/>
      <c r="T27" s="276"/>
      <c r="U27" s="276"/>
      <c r="V27" s="276"/>
      <c r="W27" s="276"/>
      <c r="X27" s="276"/>
      <c r="Y27" s="276"/>
      <c r="Z27" s="276"/>
      <c r="AA27" s="276"/>
      <c r="AB27" s="276"/>
      <c r="AC27" s="276"/>
      <c r="AD27" s="276"/>
      <c r="AE27" s="276"/>
      <c r="AF27" s="276"/>
    </row>
    <row r="28" spans="1:32" x14ac:dyDescent="0.25">
      <c r="A28" s="267">
        <v>1140</v>
      </c>
      <c r="B28" s="276"/>
      <c r="C28" s="276"/>
      <c r="D28" s="276"/>
      <c r="E28" s="276"/>
      <c r="F28" s="276"/>
      <c r="G28" s="276"/>
      <c r="H28" s="276"/>
      <c r="I28" s="276"/>
      <c r="J28" s="276"/>
      <c r="K28" s="276"/>
      <c r="L28" s="276"/>
      <c r="M28" s="276"/>
      <c r="N28" s="276"/>
      <c r="O28" s="276"/>
      <c r="P28" s="276"/>
      <c r="Q28" s="276"/>
      <c r="R28" s="276"/>
      <c r="S28" s="276"/>
      <c r="T28" s="276"/>
      <c r="U28" s="276"/>
      <c r="V28" s="276"/>
      <c r="W28" s="276"/>
      <c r="X28" s="276"/>
      <c r="Y28" s="276"/>
      <c r="Z28" s="276"/>
      <c r="AA28" s="276"/>
      <c r="AB28" s="276"/>
      <c r="AC28" s="276"/>
      <c r="AD28" s="276"/>
      <c r="AE28" s="276"/>
      <c r="AF28" s="276"/>
    </row>
    <row r="29" spans="1:32" x14ac:dyDescent="0.25">
      <c r="A29" s="267">
        <v>1150</v>
      </c>
      <c r="B29" s="276"/>
      <c r="C29" s="276"/>
      <c r="D29" s="276"/>
      <c r="E29" s="276"/>
      <c r="F29" s="276"/>
      <c r="G29" s="276"/>
      <c r="H29" s="276"/>
      <c r="I29" s="276"/>
      <c r="J29" s="276"/>
      <c r="K29" s="276"/>
      <c r="L29" s="276"/>
      <c r="M29" s="276"/>
      <c r="N29" s="276"/>
      <c r="O29" s="276"/>
      <c r="P29" s="276"/>
      <c r="Q29" s="276"/>
      <c r="R29" s="276"/>
      <c r="S29" s="276"/>
      <c r="T29" s="276"/>
      <c r="U29" s="276"/>
      <c r="V29" s="276"/>
      <c r="W29" s="276"/>
      <c r="X29" s="276"/>
      <c r="Y29" s="276"/>
      <c r="Z29" s="276"/>
      <c r="AA29" s="276"/>
      <c r="AB29" s="276"/>
      <c r="AC29" s="276"/>
      <c r="AD29" s="276"/>
      <c r="AE29" s="276"/>
      <c r="AF29" s="276"/>
    </row>
    <row r="30" spans="1:32" x14ac:dyDescent="0.25">
      <c r="A30" s="267">
        <v>1200</v>
      </c>
      <c r="B30" s="276"/>
      <c r="C30" s="276"/>
      <c r="D30" s="276"/>
      <c r="E30" s="276"/>
      <c r="F30" s="276"/>
      <c r="G30" s="276"/>
      <c r="H30" s="276"/>
      <c r="I30" s="276"/>
      <c r="J30" s="276"/>
      <c r="K30" s="276"/>
      <c r="L30" s="276"/>
      <c r="M30" s="276"/>
      <c r="N30" s="276"/>
      <c r="O30" s="276"/>
      <c r="P30" s="276"/>
      <c r="Q30" s="276"/>
      <c r="R30" s="276"/>
      <c r="S30" s="276"/>
      <c r="T30" s="276"/>
      <c r="U30" s="276"/>
      <c r="V30" s="276"/>
      <c r="W30" s="276"/>
      <c r="X30" s="276"/>
      <c r="Y30" s="276"/>
      <c r="Z30" s="276"/>
      <c r="AA30" s="276"/>
      <c r="AB30" s="276"/>
      <c r="AC30" s="276"/>
      <c r="AD30" s="276"/>
      <c r="AE30" s="276"/>
      <c r="AF30" s="276"/>
    </row>
    <row r="31" spans="1:32" x14ac:dyDescent="0.25">
      <c r="A31" s="267">
        <v>1210</v>
      </c>
      <c r="B31" s="276"/>
      <c r="C31" s="276"/>
      <c r="D31" s="276"/>
      <c r="E31" s="276"/>
      <c r="F31" s="276"/>
      <c r="G31" s="276"/>
      <c r="H31" s="276"/>
      <c r="I31" s="276"/>
      <c r="J31" s="276"/>
      <c r="K31" s="276"/>
      <c r="L31" s="276"/>
      <c r="M31" s="276"/>
      <c r="N31" s="276"/>
      <c r="O31" s="276"/>
      <c r="P31" s="276"/>
      <c r="Q31" s="276"/>
      <c r="R31" s="276"/>
      <c r="S31" s="276"/>
      <c r="T31" s="276"/>
      <c r="U31" s="276"/>
      <c r="V31" s="276"/>
      <c r="W31" s="276"/>
      <c r="X31" s="276"/>
      <c r="Y31" s="276"/>
      <c r="Z31" s="276"/>
      <c r="AA31" s="276"/>
      <c r="AB31" s="276"/>
      <c r="AC31" s="276"/>
      <c r="AD31" s="276"/>
      <c r="AE31" s="276"/>
      <c r="AF31" s="276"/>
    </row>
    <row r="32" spans="1:32" x14ac:dyDescent="0.25">
      <c r="A32" s="267">
        <v>1220</v>
      </c>
      <c r="B32" s="276"/>
      <c r="C32" s="276"/>
      <c r="D32" s="276"/>
      <c r="E32" s="276"/>
      <c r="F32" s="276"/>
      <c r="G32" s="276"/>
      <c r="H32" s="276"/>
      <c r="I32" s="276"/>
      <c r="J32" s="276"/>
      <c r="K32" s="276"/>
      <c r="L32" s="276"/>
      <c r="M32" s="276"/>
      <c r="N32" s="276"/>
      <c r="O32" s="276"/>
      <c r="P32" s="276"/>
      <c r="Q32" s="276"/>
      <c r="R32" s="276"/>
      <c r="S32" s="276"/>
      <c r="T32" s="276"/>
      <c r="U32" s="276"/>
      <c r="V32" s="276"/>
      <c r="W32" s="276"/>
      <c r="X32" s="276"/>
      <c r="Y32" s="276"/>
      <c r="Z32" s="276"/>
      <c r="AA32" s="276"/>
      <c r="AB32" s="276"/>
      <c r="AC32" s="276"/>
      <c r="AD32" s="276"/>
      <c r="AE32" s="276"/>
      <c r="AF32" s="276"/>
    </row>
    <row r="33" spans="1:32" x14ac:dyDescent="0.25">
      <c r="A33" s="267">
        <v>1230</v>
      </c>
      <c r="B33" s="276"/>
      <c r="C33" s="276"/>
      <c r="D33" s="276"/>
      <c r="E33" s="276"/>
      <c r="F33" s="276"/>
      <c r="G33" s="276"/>
      <c r="H33" s="276"/>
      <c r="I33" s="276"/>
      <c r="J33" s="276"/>
      <c r="K33" s="276"/>
      <c r="L33" s="276"/>
      <c r="M33" s="276"/>
      <c r="N33" s="276"/>
      <c r="O33" s="276"/>
      <c r="P33" s="276"/>
      <c r="Q33" s="276"/>
      <c r="R33" s="276"/>
      <c r="S33" s="276"/>
      <c r="T33" s="276"/>
      <c r="U33" s="276"/>
      <c r="V33" s="276"/>
      <c r="W33" s="276"/>
      <c r="X33" s="276"/>
      <c r="Y33" s="276"/>
      <c r="Z33" s="276"/>
      <c r="AA33" s="276"/>
      <c r="AB33" s="276"/>
      <c r="AC33" s="276"/>
      <c r="AD33" s="276"/>
      <c r="AE33" s="276"/>
      <c r="AF33" s="276"/>
    </row>
    <row r="34" spans="1:32" x14ac:dyDescent="0.25">
      <c r="A34" s="267">
        <v>1240</v>
      </c>
      <c r="B34" s="276"/>
      <c r="C34" s="276"/>
      <c r="D34" s="276"/>
      <c r="E34" s="276"/>
      <c r="F34" s="276"/>
      <c r="G34" s="276"/>
      <c r="H34" s="276"/>
      <c r="I34" s="276"/>
      <c r="J34" s="276"/>
      <c r="K34" s="276"/>
      <c r="L34" s="276"/>
      <c r="M34" s="276"/>
      <c r="N34" s="276"/>
      <c r="O34" s="276"/>
      <c r="P34" s="276"/>
      <c r="Q34" s="276"/>
      <c r="R34" s="276"/>
      <c r="S34" s="276"/>
      <c r="T34" s="276"/>
      <c r="U34" s="276"/>
      <c r="V34" s="276"/>
      <c r="W34" s="276"/>
      <c r="X34" s="276"/>
      <c r="Y34" s="276"/>
      <c r="Z34" s="276"/>
      <c r="AA34" s="276"/>
      <c r="AB34" s="276"/>
      <c r="AC34" s="276"/>
      <c r="AD34" s="276"/>
      <c r="AE34" s="276"/>
      <c r="AF34" s="276"/>
    </row>
    <row r="35" spans="1:32" x14ac:dyDescent="0.25">
      <c r="A35" s="267">
        <v>1250</v>
      </c>
      <c r="B35" s="276"/>
      <c r="C35" s="276"/>
      <c r="D35" s="276"/>
      <c r="E35" s="276"/>
      <c r="F35" s="276"/>
      <c r="G35" s="276"/>
      <c r="H35" s="276"/>
      <c r="I35" s="276"/>
      <c r="J35" s="276"/>
      <c r="K35" s="276"/>
      <c r="L35" s="276"/>
      <c r="M35" s="276"/>
      <c r="N35" s="276"/>
      <c r="O35" s="276"/>
      <c r="P35" s="276"/>
      <c r="Q35" s="276"/>
      <c r="R35" s="276"/>
      <c r="S35" s="276"/>
      <c r="T35" s="276"/>
      <c r="U35" s="276"/>
      <c r="V35" s="276"/>
      <c r="W35" s="276"/>
      <c r="X35" s="276"/>
      <c r="Y35" s="276"/>
      <c r="Z35" s="276"/>
      <c r="AA35" s="276"/>
      <c r="AB35" s="276"/>
      <c r="AC35" s="276"/>
      <c r="AD35" s="276"/>
      <c r="AE35" s="276"/>
      <c r="AF35" s="276"/>
    </row>
    <row r="36" spans="1:32" x14ac:dyDescent="0.25">
      <c r="A36" s="267">
        <v>1300</v>
      </c>
      <c r="B36" s="276"/>
      <c r="C36" s="276"/>
      <c r="D36" s="276"/>
      <c r="E36" s="276"/>
      <c r="F36" s="276"/>
      <c r="G36" s="276"/>
      <c r="H36" s="276"/>
      <c r="I36" s="276"/>
      <c r="J36" s="276"/>
      <c r="K36" s="276"/>
      <c r="L36" s="276"/>
      <c r="M36" s="276"/>
      <c r="N36" s="276"/>
      <c r="O36" s="276"/>
      <c r="P36" s="276"/>
      <c r="Q36" s="276"/>
      <c r="R36" s="276"/>
      <c r="S36" s="276"/>
      <c r="T36" s="276"/>
      <c r="U36" s="276"/>
      <c r="V36" s="276"/>
      <c r="W36" s="276"/>
      <c r="X36" s="276"/>
      <c r="Y36" s="276"/>
      <c r="Z36" s="276"/>
      <c r="AA36" s="276"/>
      <c r="AB36" s="276"/>
      <c r="AC36" s="276"/>
      <c r="AD36" s="276"/>
      <c r="AE36" s="276"/>
      <c r="AF36" s="276"/>
    </row>
    <row r="37" spans="1:32" x14ac:dyDescent="0.25">
      <c r="A37" s="267">
        <v>1310</v>
      </c>
      <c r="B37" s="276"/>
      <c r="C37" s="276"/>
      <c r="D37" s="276"/>
      <c r="E37" s="276"/>
      <c r="F37" s="276"/>
      <c r="G37" s="276"/>
      <c r="H37" s="276"/>
      <c r="I37" s="276"/>
      <c r="J37" s="276"/>
      <c r="K37" s="276"/>
      <c r="L37" s="276"/>
      <c r="M37" s="276"/>
      <c r="N37" s="276"/>
      <c r="O37" s="276"/>
      <c r="P37" s="276"/>
      <c r="Q37" s="276"/>
      <c r="R37" s="276"/>
      <c r="S37" s="276"/>
      <c r="T37" s="276"/>
      <c r="U37" s="276"/>
      <c r="V37" s="276"/>
      <c r="W37" s="276"/>
      <c r="X37" s="276"/>
      <c r="Y37" s="276"/>
      <c r="Z37" s="276"/>
      <c r="AA37" s="276"/>
      <c r="AB37" s="276"/>
      <c r="AC37" s="276"/>
      <c r="AD37" s="276"/>
      <c r="AE37" s="276"/>
      <c r="AF37" s="276"/>
    </row>
    <row r="38" spans="1:32" x14ac:dyDescent="0.25">
      <c r="A38" s="267">
        <v>1320</v>
      </c>
      <c r="B38" s="276"/>
      <c r="C38" s="276"/>
      <c r="D38" s="276"/>
      <c r="E38" s="276"/>
      <c r="F38" s="276"/>
      <c r="G38" s="276"/>
      <c r="H38" s="276"/>
      <c r="I38" s="276"/>
      <c r="J38" s="276"/>
      <c r="K38" s="276"/>
      <c r="L38" s="276"/>
      <c r="M38" s="276"/>
      <c r="N38" s="276"/>
      <c r="O38" s="276"/>
      <c r="P38" s="276"/>
      <c r="Q38" s="276"/>
      <c r="R38" s="276"/>
      <c r="S38" s="276"/>
      <c r="T38" s="276"/>
      <c r="U38" s="276"/>
      <c r="V38" s="276"/>
      <c r="W38" s="276"/>
      <c r="X38" s="276"/>
      <c r="Y38" s="276"/>
      <c r="Z38" s="276"/>
      <c r="AA38" s="276"/>
      <c r="AB38" s="276"/>
      <c r="AC38" s="276"/>
      <c r="AD38" s="276"/>
      <c r="AE38" s="276"/>
      <c r="AF38" s="276"/>
    </row>
    <row r="39" spans="1:32" x14ac:dyDescent="0.25">
      <c r="A39" s="267">
        <v>1330</v>
      </c>
      <c r="B39" s="276"/>
      <c r="C39" s="276"/>
      <c r="D39" s="276"/>
      <c r="E39" s="276"/>
      <c r="F39" s="276"/>
      <c r="G39" s="276"/>
      <c r="H39" s="276"/>
      <c r="I39" s="276"/>
      <c r="J39" s="276"/>
      <c r="K39" s="276"/>
      <c r="L39" s="276"/>
      <c r="M39" s="276"/>
      <c r="N39" s="276"/>
      <c r="O39" s="276"/>
      <c r="P39" s="276"/>
      <c r="Q39" s="276"/>
      <c r="R39" s="276"/>
      <c r="S39" s="276"/>
      <c r="T39" s="276"/>
      <c r="U39" s="276"/>
      <c r="V39" s="276"/>
      <c r="W39" s="276"/>
      <c r="X39" s="276"/>
      <c r="Y39" s="276"/>
      <c r="Z39" s="276"/>
      <c r="AA39" s="276"/>
      <c r="AB39" s="276"/>
      <c r="AC39" s="276"/>
      <c r="AD39" s="276"/>
      <c r="AE39" s="276"/>
      <c r="AF39" s="276"/>
    </row>
    <row r="40" spans="1:32" x14ac:dyDescent="0.25">
      <c r="A40" s="267">
        <v>1340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6"/>
      <c r="P40" s="276"/>
      <c r="Q40" s="276"/>
      <c r="R40" s="276"/>
      <c r="S40" s="276"/>
      <c r="T40" s="276"/>
      <c r="U40" s="276"/>
      <c r="V40" s="276"/>
      <c r="W40" s="276"/>
      <c r="X40" s="276"/>
      <c r="Y40" s="276"/>
      <c r="Z40" s="276"/>
      <c r="AA40" s="276"/>
      <c r="AB40" s="276"/>
      <c r="AC40" s="276"/>
      <c r="AD40" s="276"/>
      <c r="AE40" s="276"/>
      <c r="AF40" s="276"/>
    </row>
    <row r="41" spans="1:32" x14ac:dyDescent="0.25">
      <c r="A41" s="267">
        <v>1350</v>
      </c>
      <c r="B41" s="276"/>
      <c r="C41" s="276"/>
      <c r="D41" s="276"/>
      <c r="E41" s="276"/>
      <c r="F41" s="276"/>
      <c r="G41" s="276"/>
      <c r="H41" s="276"/>
      <c r="I41" s="276"/>
      <c r="J41" s="276"/>
      <c r="K41" s="276"/>
      <c r="L41" s="276"/>
      <c r="M41" s="276"/>
      <c r="N41" s="276"/>
      <c r="O41" s="276"/>
      <c r="P41" s="276"/>
      <c r="Q41" s="276"/>
      <c r="R41" s="276"/>
      <c r="S41" s="276"/>
      <c r="T41" s="276"/>
      <c r="U41" s="276"/>
      <c r="V41" s="276"/>
      <c r="W41" s="276"/>
      <c r="X41" s="276"/>
      <c r="Y41" s="276"/>
      <c r="Z41" s="276"/>
      <c r="AA41" s="276"/>
      <c r="AB41" s="276"/>
      <c r="AC41" s="276"/>
      <c r="AD41" s="276"/>
      <c r="AE41" s="276"/>
      <c r="AF41" s="276"/>
    </row>
    <row r="42" spans="1:32" x14ac:dyDescent="0.25">
      <c r="A42" s="267">
        <v>1400</v>
      </c>
      <c r="B42" s="276"/>
      <c r="C42" s="276"/>
      <c r="D42" s="276"/>
      <c r="E42" s="276"/>
      <c r="F42" s="276"/>
      <c r="G42" s="276"/>
      <c r="H42" s="276"/>
      <c r="I42" s="276"/>
      <c r="J42" s="276"/>
      <c r="K42" s="276"/>
      <c r="L42" s="276"/>
      <c r="M42" s="276"/>
      <c r="N42" s="276"/>
      <c r="O42" s="276"/>
      <c r="P42" s="276"/>
      <c r="Q42" s="276"/>
      <c r="R42" s="276"/>
      <c r="S42" s="276"/>
      <c r="T42" s="276"/>
      <c r="U42" s="276"/>
      <c r="V42" s="276"/>
      <c r="W42" s="276"/>
      <c r="X42" s="276"/>
      <c r="Y42" s="276"/>
      <c r="Z42" s="276"/>
      <c r="AA42" s="276"/>
      <c r="AB42" s="276"/>
      <c r="AC42" s="276"/>
      <c r="AD42" s="276"/>
      <c r="AE42" s="276"/>
      <c r="AF42" s="276"/>
    </row>
    <row r="43" spans="1:32" x14ac:dyDescent="0.25">
      <c r="A43" s="267">
        <v>1410</v>
      </c>
      <c r="B43" s="276"/>
      <c r="C43" s="276"/>
      <c r="D43" s="276"/>
      <c r="E43" s="276"/>
      <c r="F43" s="276"/>
      <c r="G43" s="276"/>
      <c r="H43" s="276"/>
      <c r="I43" s="276"/>
      <c r="J43" s="276"/>
      <c r="K43" s="276"/>
      <c r="L43" s="276"/>
      <c r="M43" s="276"/>
      <c r="N43" s="276"/>
      <c r="O43" s="276"/>
      <c r="P43" s="276"/>
      <c r="Q43" s="276"/>
      <c r="R43" s="276"/>
      <c r="S43" s="276"/>
      <c r="T43" s="276"/>
      <c r="U43" s="276"/>
      <c r="V43" s="276"/>
      <c r="W43" s="276"/>
      <c r="X43" s="276"/>
      <c r="Y43" s="276"/>
      <c r="Z43" s="276"/>
      <c r="AA43" s="276"/>
      <c r="AB43" s="276"/>
      <c r="AC43" s="276"/>
      <c r="AD43" s="276"/>
      <c r="AE43" s="276"/>
      <c r="AF43" s="276"/>
    </row>
    <row r="44" spans="1:32" x14ac:dyDescent="0.25">
      <c r="A44" s="267">
        <v>1420</v>
      </c>
      <c r="B44" s="276"/>
      <c r="C44" s="276"/>
      <c r="D44" s="276"/>
      <c r="E44" s="276"/>
      <c r="F44" s="276"/>
      <c r="G44" s="276"/>
      <c r="H44" s="276"/>
      <c r="I44" s="276"/>
      <c r="J44" s="276"/>
      <c r="K44" s="276"/>
      <c r="L44" s="276"/>
      <c r="M44" s="276"/>
      <c r="N44" s="276"/>
      <c r="O44" s="276"/>
      <c r="P44" s="276"/>
      <c r="Q44" s="276"/>
      <c r="R44" s="276"/>
      <c r="S44" s="276"/>
      <c r="T44" s="276"/>
      <c r="U44" s="276"/>
      <c r="V44" s="276"/>
      <c r="W44" s="276"/>
      <c r="X44" s="276"/>
      <c r="Y44" s="276"/>
      <c r="Z44" s="276"/>
      <c r="AA44" s="276"/>
      <c r="AB44" s="276"/>
      <c r="AC44" s="276"/>
      <c r="AD44" s="276"/>
      <c r="AE44" s="276"/>
      <c r="AF44" s="276"/>
    </row>
    <row r="45" spans="1:32" x14ac:dyDescent="0.25">
      <c r="A45" s="267">
        <v>1430</v>
      </c>
      <c r="B45" s="276"/>
      <c r="C45" s="276"/>
      <c r="D45" s="276"/>
      <c r="E45" s="276"/>
      <c r="F45" s="276"/>
      <c r="G45" s="276"/>
      <c r="H45" s="276"/>
      <c r="I45" s="276"/>
      <c r="J45" s="276"/>
      <c r="K45" s="276"/>
      <c r="L45" s="276"/>
      <c r="M45" s="276"/>
      <c r="N45" s="276"/>
      <c r="O45" s="276"/>
      <c r="P45" s="276"/>
      <c r="Q45" s="276"/>
      <c r="R45" s="276"/>
      <c r="S45" s="276"/>
      <c r="T45" s="276"/>
      <c r="U45" s="276"/>
      <c r="V45" s="276"/>
      <c r="W45" s="276"/>
      <c r="X45" s="276"/>
      <c r="Y45" s="276"/>
      <c r="Z45" s="276"/>
      <c r="AA45" s="276"/>
      <c r="AB45" s="276"/>
      <c r="AC45" s="276"/>
      <c r="AD45" s="276"/>
      <c r="AE45" s="276"/>
      <c r="AF45" s="276"/>
    </row>
    <row r="46" spans="1:32" x14ac:dyDescent="0.25">
      <c r="A46" s="267">
        <v>1440</v>
      </c>
      <c r="B46" s="276"/>
      <c r="C46" s="276"/>
      <c r="D46" s="276"/>
      <c r="E46" s="276"/>
      <c r="F46" s="276"/>
      <c r="G46" s="276"/>
      <c r="H46" s="276"/>
      <c r="I46" s="276"/>
      <c r="J46" s="276"/>
      <c r="K46" s="276"/>
      <c r="L46" s="276"/>
      <c r="M46" s="276"/>
      <c r="N46" s="276"/>
      <c r="O46" s="276"/>
      <c r="P46" s="276"/>
      <c r="Q46" s="276"/>
      <c r="R46" s="276"/>
      <c r="S46" s="276"/>
      <c r="T46" s="276"/>
      <c r="U46" s="276"/>
      <c r="V46" s="276"/>
      <c r="W46" s="276"/>
      <c r="X46" s="276"/>
      <c r="Y46" s="276"/>
      <c r="Z46" s="276"/>
      <c r="AA46" s="276"/>
      <c r="AB46" s="276"/>
      <c r="AC46" s="276"/>
      <c r="AD46" s="276"/>
      <c r="AE46" s="276"/>
      <c r="AF46" s="276"/>
    </row>
    <row r="47" spans="1:32" x14ac:dyDescent="0.25">
      <c r="A47" s="267">
        <v>1450</v>
      </c>
      <c r="B47" s="276"/>
      <c r="C47" s="276"/>
      <c r="D47" s="276"/>
      <c r="E47" s="276"/>
      <c r="F47" s="276"/>
      <c r="G47" s="276"/>
      <c r="H47" s="276"/>
      <c r="I47" s="276"/>
      <c r="J47" s="276"/>
      <c r="K47" s="276"/>
      <c r="L47" s="276"/>
      <c r="M47" s="276"/>
      <c r="N47" s="276"/>
      <c r="O47" s="276"/>
      <c r="P47" s="276"/>
      <c r="Q47" s="276"/>
      <c r="R47" s="276"/>
      <c r="S47" s="276"/>
      <c r="T47" s="276"/>
      <c r="U47" s="276"/>
      <c r="V47" s="276"/>
      <c r="W47" s="276"/>
      <c r="X47" s="276"/>
      <c r="Y47" s="276"/>
      <c r="Z47" s="276"/>
      <c r="AA47" s="276"/>
      <c r="AB47" s="276"/>
      <c r="AC47" s="276"/>
      <c r="AD47" s="276"/>
      <c r="AE47" s="276"/>
      <c r="AF47" s="276"/>
    </row>
    <row r="48" spans="1:32" x14ac:dyDescent="0.25">
      <c r="A48" s="267">
        <v>1500</v>
      </c>
      <c r="B48" s="276"/>
      <c r="C48" s="276"/>
      <c r="D48" s="276"/>
      <c r="E48" s="276"/>
      <c r="F48" s="276"/>
      <c r="G48" s="276"/>
      <c r="H48" s="276"/>
      <c r="I48" s="276"/>
      <c r="J48" s="276"/>
      <c r="K48" s="276"/>
      <c r="L48" s="276"/>
      <c r="M48" s="276"/>
      <c r="N48" s="276"/>
      <c r="O48" s="276"/>
      <c r="P48" s="276"/>
      <c r="Q48" s="276"/>
      <c r="R48" s="276"/>
      <c r="S48" s="276"/>
      <c r="T48" s="276"/>
      <c r="U48" s="276"/>
      <c r="V48" s="276"/>
      <c r="W48" s="276"/>
      <c r="X48" s="276"/>
      <c r="Y48" s="276"/>
      <c r="Z48" s="276"/>
      <c r="AA48" s="276"/>
      <c r="AB48" s="276"/>
      <c r="AC48" s="276"/>
      <c r="AD48" s="276"/>
      <c r="AE48" s="276"/>
      <c r="AF48" s="276"/>
    </row>
    <row r="49" spans="1:32" x14ac:dyDescent="0.25">
      <c r="A49" s="267">
        <v>1510</v>
      </c>
      <c r="B49" s="276"/>
      <c r="C49" s="276"/>
      <c r="D49" s="276"/>
      <c r="E49" s="276"/>
      <c r="F49" s="276"/>
      <c r="G49" s="276"/>
      <c r="H49" s="276"/>
      <c r="I49" s="276"/>
      <c r="J49" s="276"/>
      <c r="K49" s="276"/>
      <c r="L49" s="276"/>
      <c r="M49" s="276"/>
      <c r="N49" s="276"/>
      <c r="O49" s="276"/>
      <c r="P49" s="276"/>
      <c r="Q49" s="276"/>
      <c r="R49" s="276"/>
      <c r="S49" s="276"/>
      <c r="T49" s="276"/>
      <c r="U49" s="276"/>
      <c r="V49" s="276"/>
      <c r="W49" s="276"/>
      <c r="X49" s="276"/>
      <c r="Y49" s="276"/>
      <c r="Z49" s="276"/>
      <c r="AA49" s="276"/>
      <c r="AB49" s="276"/>
      <c r="AC49" s="276"/>
      <c r="AD49" s="276"/>
      <c r="AE49" s="276"/>
      <c r="AF49" s="276"/>
    </row>
    <row r="50" spans="1:32" x14ac:dyDescent="0.25">
      <c r="A50" s="267">
        <v>1520</v>
      </c>
      <c r="B50" s="276"/>
      <c r="C50" s="276"/>
      <c r="D50" s="276"/>
      <c r="E50" s="276"/>
      <c r="F50" s="276"/>
      <c r="G50" s="276"/>
      <c r="H50" s="276"/>
      <c r="I50" s="276"/>
      <c r="J50" s="276"/>
      <c r="K50" s="276"/>
      <c r="L50" s="276"/>
      <c r="M50" s="276"/>
      <c r="N50" s="276"/>
      <c r="O50" s="276"/>
      <c r="P50" s="276"/>
      <c r="Q50" s="276"/>
      <c r="R50" s="276"/>
      <c r="S50" s="276"/>
      <c r="T50" s="276"/>
      <c r="U50" s="276"/>
      <c r="V50" s="276"/>
      <c r="W50" s="276"/>
      <c r="X50" s="276"/>
      <c r="Y50" s="276"/>
      <c r="Z50" s="276"/>
      <c r="AA50" s="276"/>
      <c r="AB50" s="276"/>
      <c r="AC50" s="276"/>
      <c r="AD50" s="276"/>
      <c r="AE50" s="276"/>
      <c r="AF50" s="276"/>
    </row>
    <row r="51" spans="1:32" x14ac:dyDescent="0.25">
      <c r="A51" s="267">
        <v>1530</v>
      </c>
      <c r="B51" s="276"/>
      <c r="C51" s="276"/>
      <c r="D51" s="276"/>
      <c r="E51" s="276"/>
      <c r="F51" s="276"/>
      <c r="G51" s="276"/>
      <c r="H51" s="276"/>
      <c r="I51" s="276"/>
      <c r="J51" s="276"/>
      <c r="K51" s="276"/>
      <c r="L51" s="276"/>
      <c r="M51" s="276"/>
      <c r="N51" s="276"/>
      <c r="O51" s="276"/>
      <c r="P51" s="276"/>
      <c r="Q51" s="276"/>
      <c r="R51" s="276"/>
      <c r="S51" s="276"/>
      <c r="T51" s="276"/>
      <c r="U51" s="276"/>
      <c r="V51" s="276"/>
      <c r="W51" s="276"/>
      <c r="X51" s="276"/>
      <c r="Y51" s="276"/>
      <c r="Z51" s="276"/>
      <c r="AA51" s="276"/>
      <c r="AB51" s="276"/>
      <c r="AC51" s="276"/>
      <c r="AD51" s="276"/>
      <c r="AE51" s="276"/>
      <c r="AF51" s="276"/>
    </row>
    <row r="52" spans="1:32" x14ac:dyDescent="0.25">
      <c r="A52" s="267">
        <v>1540</v>
      </c>
      <c r="B52" s="276"/>
      <c r="C52" s="276"/>
      <c r="D52" s="276"/>
      <c r="E52" s="276"/>
      <c r="F52" s="276"/>
      <c r="G52" s="276"/>
      <c r="H52" s="276"/>
      <c r="I52" s="276"/>
      <c r="J52" s="276"/>
      <c r="K52" s="276"/>
      <c r="L52" s="276"/>
      <c r="M52" s="276"/>
      <c r="N52" s="276"/>
      <c r="O52" s="276"/>
      <c r="P52" s="276"/>
      <c r="Q52" s="276"/>
      <c r="R52" s="276"/>
      <c r="S52" s="276"/>
      <c r="T52" s="276"/>
      <c r="U52" s="276"/>
      <c r="V52" s="276"/>
      <c r="W52" s="276"/>
      <c r="X52" s="276"/>
      <c r="Y52" s="276"/>
      <c r="Z52" s="276"/>
      <c r="AA52" s="276"/>
      <c r="AB52" s="276"/>
      <c r="AC52" s="276"/>
      <c r="AD52" s="276"/>
      <c r="AE52" s="276"/>
      <c r="AF52" s="276"/>
    </row>
    <row r="53" spans="1:32" x14ac:dyDescent="0.25">
      <c r="A53" s="267">
        <v>1550</v>
      </c>
      <c r="B53" s="276"/>
      <c r="C53" s="276"/>
      <c r="D53" s="276"/>
      <c r="E53" s="276"/>
      <c r="F53" s="276"/>
      <c r="G53" s="276"/>
      <c r="H53" s="276"/>
      <c r="I53" s="276"/>
      <c r="J53" s="276"/>
      <c r="K53" s="276"/>
      <c r="L53" s="276"/>
      <c r="M53" s="276"/>
      <c r="N53" s="276"/>
      <c r="O53" s="276"/>
      <c r="P53" s="276"/>
      <c r="Q53" s="276"/>
      <c r="R53" s="276"/>
      <c r="S53" s="276"/>
      <c r="T53" s="276"/>
      <c r="U53" s="276"/>
      <c r="V53" s="276"/>
      <c r="W53" s="276"/>
      <c r="X53" s="276"/>
      <c r="Y53" s="276"/>
      <c r="Z53" s="276"/>
      <c r="AA53" s="276"/>
      <c r="AB53" s="276"/>
      <c r="AC53" s="276"/>
      <c r="AD53" s="276"/>
      <c r="AE53" s="276"/>
      <c r="AF53" s="276"/>
    </row>
    <row r="54" spans="1:32" x14ac:dyDescent="0.25">
      <c r="A54" s="267">
        <v>1600</v>
      </c>
      <c r="B54" s="276"/>
      <c r="C54" s="276"/>
      <c r="D54" s="276"/>
      <c r="E54" s="276"/>
      <c r="F54" s="276"/>
      <c r="G54" s="276"/>
      <c r="H54" s="276"/>
      <c r="I54" s="276"/>
      <c r="J54" s="276"/>
      <c r="K54" s="276"/>
      <c r="L54" s="276"/>
      <c r="M54" s="276"/>
      <c r="N54" s="276"/>
      <c r="O54" s="276"/>
      <c r="P54" s="276"/>
      <c r="Q54" s="276"/>
      <c r="R54" s="276"/>
      <c r="S54" s="276"/>
      <c r="T54" s="276"/>
      <c r="U54" s="276"/>
      <c r="V54" s="276"/>
      <c r="W54" s="276"/>
      <c r="X54" s="276"/>
      <c r="Y54" s="276"/>
      <c r="Z54" s="276"/>
      <c r="AA54" s="276"/>
      <c r="AB54" s="276"/>
      <c r="AC54" s="276"/>
      <c r="AD54" s="276"/>
      <c r="AE54" s="276"/>
      <c r="AF54" s="276"/>
    </row>
    <row r="55" spans="1:32" x14ac:dyDescent="0.25">
      <c r="A55" s="267">
        <v>1610</v>
      </c>
      <c r="B55" s="276"/>
      <c r="C55" s="276"/>
      <c r="D55" s="276"/>
      <c r="E55" s="276"/>
      <c r="F55" s="276"/>
      <c r="G55" s="276"/>
      <c r="H55" s="276"/>
      <c r="I55" s="276"/>
      <c r="J55" s="276"/>
      <c r="K55" s="276"/>
      <c r="L55" s="276"/>
      <c r="M55" s="276"/>
      <c r="N55" s="276"/>
      <c r="O55" s="276"/>
      <c r="P55" s="276"/>
      <c r="Q55" s="276"/>
      <c r="R55" s="276"/>
      <c r="S55" s="276"/>
      <c r="T55" s="276"/>
      <c r="U55" s="276"/>
      <c r="V55" s="276"/>
      <c r="W55" s="276"/>
      <c r="X55" s="276"/>
      <c r="Y55" s="276"/>
      <c r="Z55" s="276"/>
      <c r="AA55" s="276"/>
      <c r="AB55" s="276"/>
      <c r="AC55" s="276"/>
      <c r="AD55" s="276"/>
      <c r="AE55" s="276"/>
      <c r="AF55" s="276"/>
    </row>
    <row r="56" spans="1:32" x14ac:dyDescent="0.25">
      <c r="A56" s="267">
        <v>1620</v>
      </c>
      <c r="B56" s="276"/>
      <c r="C56" s="276"/>
      <c r="D56" s="276"/>
      <c r="E56" s="276"/>
      <c r="F56" s="276"/>
      <c r="G56" s="276"/>
      <c r="H56" s="276"/>
      <c r="I56" s="276"/>
      <c r="J56" s="276"/>
      <c r="K56" s="276"/>
      <c r="L56" s="276"/>
      <c r="M56" s="276"/>
      <c r="N56" s="276"/>
      <c r="O56" s="276"/>
      <c r="P56" s="276"/>
      <c r="Q56" s="276"/>
      <c r="R56" s="276"/>
      <c r="S56" s="276"/>
      <c r="T56" s="276"/>
      <c r="U56" s="276"/>
      <c r="V56" s="276"/>
      <c r="W56" s="276"/>
      <c r="X56" s="276"/>
      <c r="Y56" s="276"/>
      <c r="Z56" s="276"/>
      <c r="AA56" s="276"/>
      <c r="AB56" s="276"/>
      <c r="AC56" s="276"/>
      <c r="AD56" s="276"/>
      <c r="AE56" s="276"/>
      <c r="AF56" s="276"/>
    </row>
    <row r="57" spans="1:32" x14ac:dyDescent="0.25">
      <c r="A57" s="267">
        <v>1630</v>
      </c>
      <c r="B57" s="276"/>
      <c r="C57" s="276"/>
      <c r="D57" s="276"/>
      <c r="E57" s="276"/>
      <c r="F57" s="276"/>
      <c r="G57" s="276"/>
      <c r="H57" s="276"/>
      <c r="I57" s="276"/>
      <c r="J57" s="276"/>
      <c r="K57" s="276"/>
      <c r="L57" s="276"/>
      <c r="M57" s="276"/>
      <c r="N57" s="276"/>
      <c r="O57" s="276"/>
      <c r="P57" s="276"/>
      <c r="Q57" s="276"/>
      <c r="R57" s="276"/>
      <c r="S57" s="276"/>
      <c r="T57" s="276"/>
      <c r="U57" s="276"/>
      <c r="V57" s="276"/>
      <c r="W57" s="276"/>
      <c r="X57" s="276"/>
      <c r="Y57" s="276"/>
      <c r="Z57" s="276"/>
      <c r="AA57" s="276"/>
      <c r="AB57" s="276"/>
      <c r="AC57" s="276"/>
      <c r="AD57" s="276"/>
      <c r="AE57" s="276"/>
      <c r="AF57" s="276"/>
    </row>
    <row r="58" spans="1:32" x14ac:dyDescent="0.25">
      <c r="A58" s="267">
        <v>1640</v>
      </c>
      <c r="B58" s="276"/>
      <c r="C58" s="276"/>
      <c r="D58" s="276"/>
      <c r="E58" s="276"/>
      <c r="F58" s="276"/>
      <c r="G58" s="276"/>
      <c r="H58" s="276"/>
      <c r="I58" s="276"/>
      <c r="J58" s="276"/>
      <c r="K58" s="276"/>
      <c r="L58" s="276"/>
      <c r="M58" s="276"/>
      <c r="N58" s="276"/>
      <c r="O58" s="276"/>
      <c r="P58" s="276"/>
      <c r="Q58" s="276"/>
      <c r="R58" s="276"/>
      <c r="S58" s="276"/>
      <c r="T58" s="276"/>
      <c r="U58" s="276"/>
      <c r="V58" s="276"/>
      <c r="W58" s="276"/>
      <c r="X58" s="276"/>
      <c r="Y58" s="276"/>
      <c r="Z58" s="276"/>
      <c r="AA58" s="276"/>
      <c r="AB58" s="276"/>
      <c r="AC58" s="276"/>
      <c r="AD58" s="276"/>
      <c r="AE58" s="276"/>
      <c r="AF58" s="276"/>
    </row>
    <row r="59" spans="1:32" x14ac:dyDescent="0.25">
      <c r="A59" s="267">
        <v>1650</v>
      </c>
      <c r="B59" s="276"/>
      <c r="C59" s="276"/>
      <c r="D59" s="276"/>
      <c r="E59" s="276"/>
      <c r="F59" s="276"/>
      <c r="G59" s="276"/>
      <c r="H59" s="276"/>
      <c r="I59" s="276"/>
      <c r="J59" s="276"/>
      <c r="K59" s="276"/>
      <c r="L59" s="276"/>
      <c r="M59" s="276"/>
      <c r="N59" s="276"/>
      <c r="O59" s="276"/>
      <c r="P59" s="276"/>
      <c r="Q59" s="276"/>
      <c r="R59" s="276"/>
      <c r="S59" s="276"/>
      <c r="T59" s="276"/>
      <c r="U59" s="276"/>
      <c r="V59" s="276"/>
      <c r="W59" s="276"/>
      <c r="X59" s="276"/>
      <c r="Y59" s="276"/>
      <c r="Z59" s="276"/>
      <c r="AA59" s="276"/>
      <c r="AB59" s="276"/>
      <c r="AC59" s="276"/>
      <c r="AD59" s="276"/>
      <c r="AE59" s="276"/>
      <c r="AF59" s="276"/>
    </row>
    <row r="60" spans="1:32" x14ac:dyDescent="0.25">
      <c r="A60" s="267">
        <v>1700</v>
      </c>
      <c r="B60" s="276"/>
      <c r="C60" s="276"/>
      <c r="D60" s="276"/>
      <c r="E60" s="276"/>
      <c r="F60" s="276"/>
      <c r="G60" s="276"/>
      <c r="H60" s="276"/>
      <c r="I60" s="276"/>
      <c r="J60" s="276"/>
      <c r="K60" s="276"/>
      <c r="L60" s="276"/>
      <c r="M60" s="276"/>
      <c r="N60" s="276"/>
      <c r="O60" s="276"/>
      <c r="P60" s="276"/>
      <c r="Q60" s="276"/>
      <c r="R60" s="276"/>
      <c r="S60" s="276"/>
      <c r="T60" s="276"/>
      <c r="U60" s="276"/>
      <c r="V60" s="276"/>
      <c r="W60" s="276"/>
      <c r="X60" s="276"/>
      <c r="Y60" s="276"/>
      <c r="Z60" s="276"/>
      <c r="AA60" s="276"/>
      <c r="AB60" s="276"/>
      <c r="AC60" s="276"/>
      <c r="AD60" s="276"/>
      <c r="AE60" s="276"/>
      <c r="AF60" s="276"/>
    </row>
    <row r="61" spans="1:32" x14ac:dyDescent="0.25">
      <c r="A61" s="267">
        <v>1710</v>
      </c>
      <c r="B61" s="276"/>
      <c r="C61" s="276"/>
      <c r="D61" s="276"/>
      <c r="E61" s="276"/>
      <c r="F61" s="276"/>
      <c r="G61" s="276"/>
      <c r="H61" s="276"/>
      <c r="I61" s="276"/>
      <c r="J61" s="276"/>
      <c r="K61" s="276"/>
      <c r="L61" s="276"/>
      <c r="M61" s="276"/>
      <c r="N61" s="276"/>
      <c r="O61" s="276"/>
      <c r="P61" s="276"/>
      <c r="Q61" s="276"/>
      <c r="R61" s="276"/>
      <c r="S61" s="276"/>
      <c r="T61" s="276"/>
      <c r="U61" s="276"/>
      <c r="V61" s="276"/>
      <c r="W61" s="276"/>
      <c r="X61" s="276"/>
      <c r="Y61" s="276"/>
      <c r="Z61" s="276"/>
      <c r="AA61" s="276"/>
      <c r="AB61" s="276"/>
      <c r="AC61" s="276"/>
      <c r="AD61" s="276"/>
      <c r="AE61" s="276"/>
      <c r="AF61" s="276"/>
    </row>
    <row r="62" spans="1:32" x14ac:dyDescent="0.25">
      <c r="A62" s="267">
        <v>1720</v>
      </c>
      <c r="B62" s="276"/>
      <c r="C62" s="276"/>
      <c r="D62" s="276"/>
      <c r="E62" s="276"/>
      <c r="F62" s="276"/>
      <c r="G62" s="276"/>
      <c r="H62" s="276"/>
      <c r="I62" s="276"/>
      <c r="J62" s="276"/>
      <c r="K62" s="276"/>
      <c r="L62" s="276"/>
      <c r="M62" s="276"/>
      <c r="N62" s="276"/>
      <c r="O62" s="276"/>
      <c r="P62" s="276"/>
      <c r="Q62" s="276"/>
      <c r="R62" s="276"/>
      <c r="S62" s="276"/>
      <c r="T62" s="276"/>
      <c r="U62" s="276"/>
      <c r="V62" s="276"/>
      <c r="W62" s="276"/>
      <c r="X62" s="276"/>
      <c r="Y62" s="276"/>
      <c r="Z62" s="276"/>
      <c r="AA62" s="276"/>
      <c r="AB62" s="276"/>
      <c r="AC62" s="276"/>
      <c r="AD62" s="276"/>
      <c r="AE62" s="276"/>
      <c r="AF62" s="276"/>
    </row>
    <row r="63" spans="1:32" x14ac:dyDescent="0.25">
      <c r="A63" s="267">
        <v>1730</v>
      </c>
      <c r="B63" s="276"/>
      <c r="C63" s="276"/>
      <c r="D63" s="276"/>
      <c r="E63" s="276"/>
      <c r="F63" s="276"/>
      <c r="G63" s="276"/>
      <c r="H63" s="276"/>
      <c r="I63" s="276"/>
      <c r="J63" s="276"/>
      <c r="K63" s="276"/>
      <c r="L63" s="276"/>
      <c r="M63" s="276"/>
      <c r="N63" s="276"/>
      <c r="O63" s="276"/>
      <c r="P63" s="276"/>
      <c r="Q63" s="276"/>
      <c r="R63" s="276"/>
      <c r="S63" s="276"/>
      <c r="T63" s="276"/>
      <c r="U63" s="276"/>
      <c r="V63" s="276"/>
      <c r="W63" s="276"/>
      <c r="X63" s="276"/>
      <c r="Y63" s="276"/>
      <c r="Z63" s="276"/>
      <c r="AA63" s="276"/>
      <c r="AB63" s="276"/>
      <c r="AC63" s="276"/>
      <c r="AD63" s="276"/>
      <c r="AE63" s="276"/>
      <c r="AF63" s="276"/>
    </row>
    <row r="64" spans="1:32" x14ac:dyDescent="0.25">
      <c r="A64" s="267">
        <v>1740</v>
      </c>
      <c r="B64" s="276"/>
      <c r="C64" s="276"/>
      <c r="D64" s="276"/>
      <c r="E64" s="276"/>
      <c r="F64" s="276"/>
      <c r="G64" s="276"/>
      <c r="H64" s="276"/>
      <c r="I64" s="276"/>
      <c r="J64" s="276"/>
      <c r="K64" s="276"/>
      <c r="L64" s="276"/>
      <c r="M64" s="276"/>
      <c r="N64" s="276"/>
      <c r="O64" s="276"/>
      <c r="P64" s="276"/>
      <c r="Q64" s="276"/>
      <c r="R64" s="276"/>
      <c r="S64" s="276"/>
      <c r="T64" s="276"/>
      <c r="U64" s="276"/>
      <c r="V64" s="276"/>
      <c r="W64" s="276"/>
      <c r="X64" s="276"/>
      <c r="Y64" s="276"/>
      <c r="Z64" s="276"/>
      <c r="AA64" s="276"/>
      <c r="AB64" s="276"/>
      <c r="AC64" s="276"/>
      <c r="AD64" s="276"/>
      <c r="AE64" s="276"/>
      <c r="AF64" s="276"/>
    </row>
    <row r="65" spans="1:32" x14ac:dyDescent="0.25">
      <c r="A65" s="267">
        <v>1750</v>
      </c>
      <c r="B65" s="276"/>
      <c r="C65" s="276"/>
      <c r="D65" s="276"/>
      <c r="E65" s="276"/>
      <c r="F65" s="276"/>
      <c r="G65" s="276"/>
      <c r="H65" s="276"/>
      <c r="I65" s="276"/>
      <c r="J65" s="276"/>
      <c r="K65" s="276"/>
      <c r="L65" s="276"/>
      <c r="M65" s="276"/>
      <c r="N65" s="276"/>
      <c r="O65" s="276"/>
      <c r="P65" s="276"/>
      <c r="Q65" s="276"/>
      <c r="R65" s="276"/>
      <c r="S65" s="276"/>
      <c r="T65" s="276"/>
      <c r="U65" s="276"/>
      <c r="V65" s="276"/>
      <c r="W65" s="276"/>
      <c r="X65" s="276"/>
      <c r="Y65" s="276"/>
      <c r="Z65" s="276"/>
      <c r="AA65" s="276"/>
      <c r="AB65" s="276"/>
      <c r="AC65" s="276"/>
      <c r="AD65" s="276"/>
      <c r="AE65" s="276"/>
      <c r="AF65" s="276"/>
    </row>
    <row r="66" spans="1:32" x14ac:dyDescent="0.25">
      <c r="A66" s="267">
        <v>1800</v>
      </c>
      <c r="B66" s="276"/>
      <c r="C66" s="276"/>
      <c r="D66" s="276"/>
      <c r="E66" s="276"/>
      <c r="F66" s="276"/>
      <c r="G66" s="276"/>
      <c r="H66" s="276"/>
      <c r="I66" s="276"/>
      <c r="J66" s="276"/>
      <c r="K66" s="276"/>
      <c r="L66" s="276"/>
      <c r="M66" s="276"/>
      <c r="N66" s="276"/>
      <c r="O66" s="276"/>
      <c r="P66" s="276"/>
      <c r="Q66" s="276"/>
      <c r="R66" s="276"/>
      <c r="S66" s="276"/>
      <c r="T66" s="276"/>
      <c r="U66" s="276"/>
      <c r="V66" s="276"/>
      <c r="W66" s="276"/>
      <c r="X66" s="276"/>
      <c r="Y66" s="276"/>
      <c r="Z66" s="276"/>
      <c r="AA66" s="276"/>
      <c r="AB66" s="276"/>
      <c r="AC66" s="276"/>
      <c r="AD66" s="276"/>
      <c r="AE66" s="276"/>
      <c r="AF66" s="276"/>
    </row>
    <row r="67" spans="1:32" x14ac:dyDescent="0.25">
      <c r="A67" s="267">
        <v>1810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6"/>
      <c r="P67" s="276"/>
      <c r="Q67" s="276"/>
      <c r="R67" s="276"/>
      <c r="S67" s="276"/>
      <c r="T67" s="276"/>
      <c r="U67" s="276"/>
      <c r="V67" s="276"/>
      <c r="W67" s="276"/>
      <c r="X67" s="276"/>
      <c r="Y67" s="276"/>
      <c r="Z67" s="276"/>
      <c r="AA67" s="276"/>
      <c r="AB67" s="276"/>
      <c r="AC67" s="276"/>
      <c r="AD67" s="276"/>
      <c r="AE67" s="276"/>
      <c r="AF67" s="276"/>
    </row>
    <row r="68" spans="1:32" x14ac:dyDescent="0.25">
      <c r="A68" s="267">
        <v>1820</v>
      </c>
      <c r="B68" s="276"/>
      <c r="C68" s="276"/>
      <c r="D68" s="276"/>
      <c r="E68" s="276"/>
      <c r="F68" s="276"/>
      <c r="G68" s="276"/>
      <c r="H68" s="276"/>
      <c r="I68" s="276"/>
      <c r="J68" s="276"/>
      <c r="K68" s="276"/>
      <c r="L68" s="276"/>
      <c r="M68" s="276"/>
      <c r="N68" s="276"/>
      <c r="O68" s="276"/>
      <c r="P68" s="276"/>
      <c r="Q68" s="276"/>
      <c r="R68" s="276"/>
      <c r="S68" s="276"/>
      <c r="T68" s="276"/>
      <c r="U68" s="276"/>
      <c r="V68" s="276"/>
      <c r="W68" s="276"/>
      <c r="X68" s="276"/>
      <c r="Y68" s="276"/>
      <c r="Z68" s="276"/>
      <c r="AA68" s="276"/>
      <c r="AB68" s="276"/>
      <c r="AC68" s="276"/>
      <c r="AD68" s="276"/>
      <c r="AE68" s="276"/>
      <c r="AF68" s="276"/>
    </row>
    <row r="69" spans="1:32" x14ac:dyDescent="0.25">
      <c r="A69" s="267">
        <v>1830</v>
      </c>
      <c r="B69" s="276"/>
      <c r="C69" s="276"/>
      <c r="D69" s="276"/>
      <c r="E69" s="276"/>
      <c r="F69" s="276"/>
      <c r="G69" s="276"/>
      <c r="H69" s="276"/>
      <c r="I69" s="276"/>
      <c r="J69" s="276"/>
      <c r="K69" s="276"/>
      <c r="L69" s="276"/>
      <c r="M69" s="276"/>
      <c r="N69" s="276"/>
      <c r="O69" s="276"/>
      <c r="P69" s="276"/>
      <c r="Q69" s="276"/>
      <c r="R69" s="276"/>
      <c r="S69" s="276"/>
      <c r="T69" s="276"/>
      <c r="U69" s="276"/>
      <c r="V69" s="276"/>
      <c r="W69" s="276"/>
      <c r="X69" s="276"/>
      <c r="Y69" s="276"/>
      <c r="Z69" s="276"/>
      <c r="AA69" s="276"/>
      <c r="AB69" s="276"/>
      <c r="AC69" s="276"/>
      <c r="AD69" s="276"/>
      <c r="AE69" s="276"/>
      <c r="AF69" s="276"/>
    </row>
    <row r="70" spans="1:32" x14ac:dyDescent="0.25">
      <c r="A70" s="267">
        <v>1840</v>
      </c>
      <c r="B70" s="276"/>
      <c r="C70" s="276"/>
      <c r="D70" s="276"/>
      <c r="E70" s="276"/>
      <c r="F70" s="276"/>
      <c r="G70" s="276"/>
      <c r="H70" s="276"/>
      <c r="I70" s="276"/>
      <c r="J70" s="276"/>
      <c r="K70" s="276"/>
      <c r="L70" s="276"/>
      <c r="M70" s="276"/>
      <c r="N70" s="276"/>
      <c r="O70" s="276"/>
      <c r="P70" s="276"/>
      <c r="Q70" s="276"/>
      <c r="R70" s="276"/>
      <c r="S70" s="276"/>
      <c r="T70" s="276"/>
      <c r="U70" s="276"/>
      <c r="V70" s="276"/>
      <c r="W70" s="276"/>
      <c r="X70" s="276"/>
      <c r="Y70" s="276"/>
      <c r="Z70" s="276"/>
      <c r="AA70" s="276"/>
      <c r="AB70" s="276"/>
      <c r="AC70" s="276"/>
      <c r="AD70" s="276"/>
      <c r="AE70" s="276"/>
      <c r="AF70" s="276"/>
    </row>
    <row r="71" spans="1:32" x14ac:dyDescent="0.25">
      <c r="A71" s="267">
        <v>1850</v>
      </c>
      <c r="B71" s="276"/>
      <c r="C71" s="276"/>
      <c r="D71" s="276"/>
      <c r="E71" s="276"/>
      <c r="F71" s="276"/>
      <c r="G71" s="276"/>
      <c r="H71" s="276"/>
      <c r="I71" s="276"/>
      <c r="J71" s="276"/>
      <c r="K71" s="276"/>
      <c r="L71" s="276"/>
      <c r="M71" s="276"/>
      <c r="N71" s="276"/>
      <c r="O71" s="276"/>
      <c r="P71" s="276"/>
      <c r="Q71" s="276"/>
      <c r="R71" s="276"/>
      <c r="S71" s="276"/>
      <c r="T71" s="276"/>
      <c r="U71" s="276"/>
      <c r="V71" s="276"/>
      <c r="W71" s="276"/>
      <c r="X71" s="276"/>
      <c r="Y71" s="276"/>
      <c r="Z71" s="276"/>
      <c r="AA71" s="276"/>
      <c r="AB71" s="276"/>
      <c r="AC71" s="276"/>
      <c r="AD71" s="276"/>
      <c r="AE71" s="276"/>
      <c r="AF71" s="276"/>
    </row>
    <row r="72" spans="1:32" x14ac:dyDescent="0.25">
      <c r="A72" s="267">
        <v>1900</v>
      </c>
      <c r="B72" s="276"/>
      <c r="C72" s="276"/>
      <c r="D72" s="276"/>
      <c r="E72" s="276"/>
      <c r="F72" s="276"/>
      <c r="G72" s="276"/>
      <c r="H72" s="276"/>
      <c r="I72" s="276"/>
      <c r="J72" s="276"/>
      <c r="K72" s="276"/>
      <c r="L72" s="276"/>
      <c r="M72" s="276"/>
      <c r="N72" s="276"/>
      <c r="O72" s="276"/>
      <c r="P72" s="276"/>
      <c r="Q72" s="276"/>
      <c r="R72" s="276"/>
      <c r="S72" s="276"/>
      <c r="T72" s="276"/>
      <c r="U72" s="276"/>
      <c r="V72" s="276"/>
      <c r="W72" s="276"/>
      <c r="X72" s="276"/>
      <c r="Y72" s="276"/>
      <c r="Z72" s="276"/>
      <c r="AA72" s="276"/>
      <c r="AB72" s="276"/>
      <c r="AC72" s="276"/>
      <c r="AD72" s="276"/>
      <c r="AE72" s="276"/>
      <c r="AF72" s="276"/>
    </row>
    <row r="73" spans="1:32" x14ac:dyDescent="0.25">
      <c r="A73" s="267" t="s">
        <v>122</v>
      </c>
      <c r="B73" s="276"/>
      <c r="C73" s="276"/>
      <c r="D73" s="276"/>
      <c r="E73" s="276"/>
      <c r="F73" s="276"/>
      <c r="G73" s="276"/>
      <c r="H73" s="276"/>
      <c r="I73" s="276"/>
      <c r="J73" s="276"/>
      <c r="K73" s="276"/>
      <c r="L73" s="276"/>
      <c r="M73" s="276"/>
      <c r="N73" s="276"/>
      <c r="O73" s="276"/>
      <c r="P73" s="276"/>
      <c r="Q73" s="276"/>
      <c r="R73" s="276"/>
      <c r="S73" s="276"/>
      <c r="T73" s="276"/>
      <c r="U73" s="276"/>
      <c r="V73" s="276"/>
      <c r="W73" s="276"/>
      <c r="X73" s="276"/>
      <c r="Y73" s="276"/>
      <c r="Z73" s="276"/>
      <c r="AA73" s="276"/>
      <c r="AB73" s="276"/>
      <c r="AC73" s="276"/>
      <c r="AD73" s="276"/>
      <c r="AE73" s="276"/>
      <c r="AF73" s="276"/>
    </row>
    <row r="74" spans="1:32" x14ac:dyDescent="0.25">
      <c r="A74" s="267">
        <v>1920</v>
      </c>
      <c r="B74" s="276"/>
      <c r="C74" s="276"/>
      <c r="D74" s="276"/>
      <c r="E74" s="276"/>
      <c r="F74" s="276"/>
      <c r="G74" s="276"/>
      <c r="H74" s="276"/>
      <c r="I74" s="276"/>
      <c r="J74" s="276"/>
      <c r="K74" s="276"/>
      <c r="L74" s="276"/>
      <c r="M74" s="276"/>
      <c r="N74" s="276"/>
      <c r="O74" s="276"/>
      <c r="P74" s="276"/>
      <c r="Q74" s="276"/>
      <c r="R74" s="276"/>
      <c r="S74" s="276"/>
      <c r="T74" s="276"/>
      <c r="U74" s="276"/>
      <c r="V74" s="276"/>
      <c r="W74" s="276"/>
      <c r="X74" s="276"/>
      <c r="Y74" s="276"/>
      <c r="Z74" s="276"/>
      <c r="AA74" s="276"/>
      <c r="AB74" s="276"/>
      <c r="AC74" s="276"/>
      <c r="AD74" s="276"/>
      <c r="AE74" s="276"/>
      <c r="AF74" s="276"/>
    </row>
    <row r="75" spans="1:32" x14ac:dyDescent="0.25">
      <c r="A75" s="267">
        <v>1930</v>
      </c>
      <c r="B75" s="276"/>
      <c r="C75" s="276"/>
      <c r="D75" s="276"/>
      <c r="E75" s="276"/>
      <c r="F75" s="276"/>
      <c r="G75" s="276"/>
      <c r="H75" s="276"/>
      <c r="I75" s="276"/>
      <c r="J75" s="276"/>
      <c r="K75" s="276"/>
      <c r="L75" s="276"/>
      <c r="M75" s="276"/>
      <c r="N75" s="276"/>
      <c r="O75" s="276"/>
      <c r="P75" s="276"/>
      <c r="Q75" s="276"/>
      <c r="R75" s="276"/>
      <c r="S75" s="276"/>
      <c r="T75" s="276"/>
      <c r="U75" s="276"/>
      <c r="V75" s="276"/>
      <c r="W75" s="276"/>
      <c r="X75" s="276"/>
      <c r="Y75" s="276"/>
      <c r="Z75" s="276"/>
      <c r="AA75" s="276"/>
      <c r="AB75" s="276"/>
      <c r="AC75" s="276"/>
      <c r="AD75" s="276"/>
      <c r="AE75" s="276"/>
      <c r="AF75" s="276"/>
    </row>
    <row r="76" spans="1:32" x14ac:dyDescent="0.25">
      <c r="A76" s="267">
        <v>1940</v>
      </c>
      <c r="B76" s="276"/>
      <c r="C76" s="276"/>
      <c r="D76" s="276"/>
      <c r="E76" s="276"/>
      <c r="F76" s="276"/>
      <c r="G76" s="276"/>
      <c r="H76" s="276"/>
      <c r="I76" s="276"/>
      <c r="J76" s="276"/>
      <c r="K76" s="276"/>
      <c r="L76" s="276"/>
      <c r="M76" s="276"/>
      <c r="N76" s="276"/>
      <c r="O76" s="276"/>
      <c r="P76" s="276"/>
      <c r="Q76" s="276"/>
      <c r="R76" s="276"/>
      <c r="S76" s="276"/>
      <c r="T76" s="276"/>
      <c r="U76" s="276"/>
      <c r="V76" s="276"/>
      <c r="W76" s="276"/>
      <c r="X76" s="276"/>
      <c r="Y76" s="276"/>
      <c r="Z76" s="276"/>
      <c r="AA76" s="276"/>
      <c r="AB76" s="276"/>
      <c r="AC76" s="276"/>
      <c r="AD76" s="276"/>
      <c r="AE76" s="276"/>
      <c r="AF76" s="276"/>
    </row>
    <row r="77" spans="1:32" x14ac:dyDescent="0.25">
      <c r="A77" s="267">
        <v>1950</v>
      </c>
      <c r="B77" s="276"/>
      <c r="C77" s="276"/>
      <c r="D77" s="276"/>
      <c r="E77" s="276"/>
      <c r="F77" s="276"/>
      <c r="G77" s="276"/>
      <c r="H77" s="276"/>
      <c r="I77" s="276"/>
      <c r="J77" s="276"/>
      <c r="K77" s="276"/>
      <c r="L77" s="276"/>
      <c r="M77" s="276"/>
      <c r="N77" s="276"/>
      <c r="O77" s="276"/>
      <c r="P77" s="276"/>
      <c r="Q77" s="276"/>
      <c r="R77" s="276"/>
      <c r="S77" s="276"/>
      <c r="T77" s="276"/>
      <c r="U77" s="276"/>
      <c r="V77" s="276"/>
      <c r="W77" s="276"/>
      <c r="X77" s="276"/>
      <c r="Y77" s="276"/>
      <c r="Z77" s="276"/>
      <c r="AA77" s="276"/>
      <c r="AB77" s="276"/>
      <c r="AC77" s="276"/>
      <c r="AD77" s="276"/>
      <c r="AE77" s="276"/>
      <c r="AF77" s="276"/>
    </row>
    <row r="78" spans="1:32" x14ac:dyDescent="0.25">
      <c r="A78" s="267">
        <v>2000</v>
      </c>
      <c r="B78" s="276"/>
      <c r="C78" s="276"/>
      <c r="D78" s="276"/>
      <c r="E78" s="276"/>
      <c r="F78" s="276"/>
      <c r="G78" s="276"/>
      <c r="H78" s="276"/>
      <c r="I78" s="276"/>
      <c r="J78" s="276"/>
      <c r="K78" s="276"/>
      <c r="L78" s="276"/>
      <c r="M78" s="276"/>
      <c r="N78" s="276"/>
      <c r="O78" s="276"/>
      <c r="P78" s="276"/>
      <c r="Q78" s="276"/>
      <c r="R78" s="276"/>
      <c r="S78" s="276"/>
      <c r="T78" s="276"/>
      <c r="U78" s="276"/>
      <c r="V78" s="276"/>
      <c r="W78" s="276"/>
      <c r="X78" s="276"/>
      <c r="Y78" s="276"/>
      <c r="Z78" s="276"/>
      <c r="AA78" s="276"/>
      <c r="AB78" s="276"/>
      <c r="AC78" s="276"/>
      <c r="AD78" s="276"/>
      <c r="AE78" s="276"/>
      <c r="AF78" s="276"/>
    </row>
    <row r="79" spans="1:32" x14ac:dyDescent="0.25">
      <c r="A79" s="267">
        <v>2010</v>
      </c>
      <c r="B79" s="276"/>
      <c r="C79" s="276"/>
      <c r="D79" s="276"/>
      <c r="E79" s="276"/>
      <c r="F79" s="276"/>
      <c r="G79" s="276"/>
      <c r="H79" s="276"/>
      <c r="I79" s="276"/>
      <c r="J79" s="276"/>
      <c r="K79" s="276"/>
      <c r="L79" s="276"/>
      <c r="M79" s="276"/>
      <c r="N79" s="276"/>
      <c r="O79" s="276"/>
      <c r="P79" s="276"/>
      <c r="Q79" s="276"/>
      <c r="R79" s="276"/>
      <c r="S79" s="276"/>
      <c r="T79" s="276"/>
      <c r="U79" s="276"/>
      <c r="V79" s="276"/>
      <c r="W79" s="276"/>
      <c r="X79" s="276"/>
      <c r="Y79" s="276"/>
      <c r="Z79" s="276"/>
      <c r="AA79" s="276"/>
      <c r="AB79" s="276"/>
      <c r="AC79" s="276"/>
      <c r="AD79" s="276"/>
      <c r="AE79" s="276"/>
      <c r="AF79" s="276"/>
    </row>
    <row r="80" spans="1:32" x14ac:dyDescent="0.25">
      <c r="A80" s="267">
        <v>2020</v>
      </c>
      <c r="B80" s="276"/>
      <c r="C80" s="276"/>
      <c r="D80" s="276"/>
      <c r="E80" s="276"/>
      <c r="F80" s="276"/>
      <c r="G80" s="276"/>
      <c r="H80" s="276"/>
      <c r="I80" s="276"/>
      <c r="J80" s="276"/>
      <c r="K80" s="276"/>
      <c r="L80" s="276"/>
      <c r="M80" s="276"/>
      <c r="N80" s="276"/>
      <c r="O80" s="276"/>
      <c r="P80" s="276"/>
      <c r="Q80" s="276"/>
      <c r="R80" s="276"/>
      <c r="S80" s="276"/>
      <c r="T80" s="276"/>
      <c r="U80" s="276"/>
      <c r="V80" s="276"/>
      <c r="W80" s="276"/>
      <c r="X80" s="276"/>
      <c r="Y80" s="276"/>
      <c r="Z80" s="276"/>
      <c r="AA80" s="276"/>
      <c r="AB80" s="276"/>
      <c r="AC80" s="276"/>
      <c r="AD80" s="276"/>
      <c r="AE80" s="276"/>
      <c r="AF80" s="276"/>
    </row>
    <row r="81" spans="1:32" x14ac:dyDescent="0.25">
      <c r="A81" s="267">
        <v>2030</v>
      </c>
      <c r="B81" s="276"/>
      <c r="C81" s="276"/>
      <c r="D81" s="276"/>
      <c r="E81" s="276"/>
      <c r="F81" s="276"/>
      <c r="G81" s="276"/>
      <c r="H81" s="276"/>
      <c r="I81" s="276"/>
      <c r="J81" s="276"/>
      <c r="K81" s="276"/>
      <c r="L81" s="276"/>
      <c r="M81" s="276"/>
      <c r="N81" s="276"/>
      <c r="O81" s="276"/>
      <c r="P81" s="276"/>
      <c r="Q81" s="276"/>
      <c r="R81" s="276"/>
      <c r="S81" s="276"/>
      <c r="T81" s="276"/>
      <c r="U81" s="276"/>
      <c r="V81" s="276"/>
      <c r="W81" s="276"/>
      <c r="X81" s="276"/>
      <c r="Y81" s="276"/>
      <c r="Z81" s="276"/>
      <c r="AA81" s="276"/>
      <c r="AB81" s="276"/>
      <c r="AC81" s="276"/>
      <c r="AD81" s="276"/>
      <c r="AE81" s="276"/>
      <c r="AF81" s="276"/>
    </row>
    <row r="82" spans="1:32" x14ac:dyDescent="0.25">
      <c r="A82" s="267">
        <v>2040</v>
      </c>
      <c r="B82" s="276"/>
      <c r="C82" s="276"/>
      <c r="D82" s="276"/>
      <c r="E82" s="276"/>
      <c r="F82" s="276"/>
      <c r="G82" s="276"/>
      <c r="H82" s="276"/>
      <c r="I82" s="276"/>
      <c r="J82" s="276"/>
      <c r="K82" s="276"/>
      <c r="L82" s="276"/>
      <c r="M82" s="276"/>
      <c r="N82" s="276"/>
      <c r="O82" s="276"/>
      <c r="P82" s="276"/>
      <c r="Q82" s="276"/>
      <c r="R82" s="276"/>
      <c r="S82" s="276"/>
      <c r="T82" s="276"/>
      <c r="U82" s="276"/>
      <c r="V82" s="276"/>
      <c r="W82" s="276"/>
      <c r="X82" s="276"/>
      <c r="Y82" s="276"/>
      <c r="Z82" s="276"/>
      <c r="AA82" s="276"/>
      <c r="AB82" s="276"/>
      <c r="AC82" s="276"/>
      <c r="AD82" s="276"/>
      <c r="AE82" s="276"/>
      <c r="AF82" s="276"/>
    </row>
    <row r="83" spans="1:32" x14ac:dyDescent="0.25">
      <c r="A83" s="267">
        <v>2050</v>
      </c>
      <c r="B83" s="276"/>
      <c r="C83" s="276"/>
      <c r="D83" s="276"/>
      <c r="E83" s="276"/>
      <c r="F83" s="276"/>
      <c r="G83" s="276"/>
      <c r="H83" s="276"/>
      <c r="I83" s="276"/>
      <c r="J83" s="276"/>
      <c r="K83" s="276"/>
      <c r="L83" s="276"/>
      <c r="M83" s="276"/>
      <c r="N83" s="276"/>
      <c r="O83" s="276"/>
      <c r="P83" s="276"/>
      <c r="Q83" s="276"/>
      <c r="R83" s="276"/>
      <c r="S83" s="276"/>
      <c r="T83" s="276"/>
      <c r="U83" s="276"/>
      <c r="V83" s="276"/>
      <c r="W83" s="276"/>
      <c r="X83" s="276"/>
      <c r="Y83" s="276"/>
      <c r="Z83" s="276"/>
      <c r="AA83" s="276"/>
      <c r="AB83" s="276"/>
      <c r="AC83" s="276"/>
      <c r="AD83" s="276"/>
      <c r="AE83" s="276"/>
      <c r="AF83" s="276"/>
    </row>
    <row r="84" spans="1:32" x14ac:dyDescent="0.25">
      <c r="A84" s="267">
        <v>2100</v>
      </c>
      <c r="B84" s="276"/>
      <c r="C84" s="276"/>
      <c r="D84" s="276"/>
      <c r="E84" s="276"/>
      <c r="F84" s="276"/>
      <c r="G84" s="276"/>
      <c r="H84" s="276"/>
      <c r="I84" s="276"/>
      <c r="J84" s="276"/>
      <c r="K84" s="276"/>
      <c r="L84" s="276"/>
      <c r="M84" s="276"/>
      <c r="N84" s="276"/>
      <c r="O84" s="276"/>
      <c r="P84" s="276"/>
      <c r="Q84" s="276"/>
      <c r="R84" s="276"/>
      <c r="S84" s="276"/>
      <c r="T84" s="276"/>
      <c r="U84" s="276"/>
      <c r="V84" s="276"/>
      <c r="W84" s="276"/>
      <c r="X84" s="276"/>
      <c r="Y84" s="276"/>
      <c r="Z84" s="276"/>
      <c r="AA84" s="276"/>
      <c r="AB84" s="276"/>
      <c r="AC84" s="276"/>
      <c r="AD84" s="276"/>
      <c r="AE84" s="276"/>
      <c r="AF84" s="276"/>
    </row>
    <row r="85" spans="1:32" x14ac:dyDescent="0.25">
      <c r="A85" s="267">
        <v>2110</v>
      </c>
      <c r="B85" s="276"/>
      <c r="C85" s="276"/>
      <c r="D85" s="276"/>
      <c r="E85" s="276"/>
      <c r="F85" s="276"/>
      <c r="G85" s="276"/>
      <c r="H85" s="276"/>
      <c r="I85" s="276"/>
      <c r="J85" s="276"/>
      <c r="K85" s="276"/>
      <c r="L85" s="276"/>
      <c r="M85" s="276"/>
      <c r="N85" s="276"/>
      <c r="O85" s="276"/>
      <c r="P85" s="276"/>
      <c r="Q85" s="276"/>
      <c r="R85" s="276"/>
      <c r="S85" s="276"/>
      <c r="T85" s="276"/>
      <c r="U85" s="276"/>
      <c r="V85" s="276"/>
      <c r="W85" s="276"/>
      <c r="X85" s="276"/>
      <c r="Y85" s="276"/>
      <c r="Z85" s="276"/>
      <c r="AA85" s="276"/>
      <c r="AB85" s="276"/>
      <c r="AC85" s="276"/>
      <c r="AD85" s="276"/>
      <c r="AE85" s="276"/>
      <c r="AF85" s="276"/>
    </row>
    <row r="86" spans="1:32" x14ac:dyDescent="0.25">
      <c r="A86" s="267">
        <v>2120</v>
      </c>
      <c r="B86" s="276"/>
      <c r="C86" s="276"/>
      <c r="D86" s="276"/>
      <c r="E86" s="276"/>
      <c r="F86" s="276"/>
      <c r="G86" s="276"/>
      <c r="H86" s="276"/>
      <c r="I86" s="276"/>
      <c r="J86" s="276"/>
      <c r="K86" s="276"/>
      <c r="L86" s="276"/>
      <c r="M86" s="276"/>
      <c r="N86" s="276"/>
      <c r="O86" s="276"/>
      <c r="P86" s="276"/>
      <c r="Q86" s="276"/>
      <c r="R86" s="276"/>
      <c r="S86" s="276"/>
      <c r="T86" s="276"/>
      <c r="U86" s="276"/>
      <c r="V86" s="276"/>
      <c r="W86" s="276"/>
      <c r="X86" s="276"/>
      <c r="Y86" s="276"/>
      <c r="Z86" s="276"/>
      <c r="AA86" s="276"/>
      <c r="AB86" s="276"/>
      <c r="AC86" s="276"/>
      <c r="AD86" s="276"/>
      <c r="AE86" s="276"/>
      <c r="AF86" s="276"/>
    </row>
    <row r="87" spans="1:32" x14ac:dyDescent="0.25">
      <c r="A87" s="267">
        <v>2130</v>
      </c>
      <c r="B87" s="276"/>
      <c r="C87" s="276"/>
      <c r="D87" s="276"/>
      <c r="E87" s="276"/>
      <c r="F87" s="276"/>
      <c r="G87" s="276"/>
      <c r="H87" s="276"/>
      <c r="I87" s="276"/>
      <c r="J87" s="276"/>
      <c r="K87" s="276"/>
      <c r="L87" s="276"/>
      <c r="M87" s="276"/>
      <c r="N87" s="276"/>
      <c r="O87" s="276"/>
      <c r="P87" s="276"/>
      <c r="Q87" s="276"/>
      <c r="R87" s="276"/>
      <c r="S87" s="276"/>
      <c r="T87" s="276"/>
      <c r="U87" s="276"/>
      <c r="V87" s="276"/>
      <c r="W87" s="276"/>
      <c r="X87" s="276"/>
      <c r="Y87" s="276"/>
      <c r="Z87" s="276"/>
      <c r="AA87" s="276"/>
      <c r="AB87" s="276"/>
      <c r="AC87" s="276"/>
      <c r="AD87" s="276"/>
      <c r="AE87" s="276"/>
      <c r="AF87" s="276"/>
    </row>
    <row r="88" spans="1:32" x14ac:dyDescent="0.25">
      <c r="A88" s="267">
        <v>2140</v>
      </c>
      <c r="B88" s="276"/>
      <c r="C88" s="276"/>
      <c r="D88" s="276"/>
      <c r="E88" s="276"/>
      <c r="F88" s="276"/>
      <c r="G88" s="276"/>
      <c r="H88" s="276"/>
      <c r="I88" s="276"/>
      <c r="J88" s="276"/>
      <c r="K88" s="276"/>
      <c r="L88" s="276"/>
      <c r="M88" s="276"/>
      <c r="N88" s="276"/>
      <c r="O88" s="276"/>
      <c r="P88" s="276"/>
      <c r="Q88" s="276"/>
      <c r="R88" s="276"/>
      <c r="S88" s="276"/>
      <c r="T88" s="276"/>
      <c r="U88" s="276"/>
      <c r="V88" s="276"/>
      <c r="W88" s="276"/>
      <c r="X88" s="276"/>
      <c r="Y88" s="276"/>
      <c r="Z88" s="276"/>
      <c r="AA88" s="276"/>
      <c r="AB88" s="276"/>
      <c r="AC88" s="276"/>
      <c r="AD88" s="276"/>
      <c r="AE88" s="276"/>
      <c r="AF88" s="276"/>
    </row>
    <row r="89" spans="1:32" x14ac:dyDescent="0.25">
      <c r="A89" s="267">
        <v>2150</v>
      </c>
      <c r="B89" s="276"/>
      <c r="C89" s="276"/>
      <c r="D89" s="276"/>
      <c r="E89" s="276"/>
      <c r="F89" s="276"/>
      <c r="G89" s="276"/>
      <c r="H89" s="276"/>
      <c r="I89" s="276"/>
      <c r="J89" s="276"/>
      <c r="K89" s="276"/>
      <c r="L89" s="276"/>
      <c r="M89" s="276"/>
      <c r="N89" s="276"/>
      <c r="O89" s="276"/>
      <c r="P89" s="276"/>
      <c r="Q89" s="276"/>
      <c r="R89" s="276"/>
      <c r="S89" s="276"/>
      <c r="T89" s="276"/>
      <c r="U89" s="276"/>
      <c r="V89" s="276"/>
      <c r="W89" s="276"/>
      <c r="X89" s="276"/>
      <c r="Y89" s="276"/>
      <c r="Z89" s="276"/>
      <c r="AA89" s="276"/>
      <c r="AB89" s="276"/>
      <c r="AC89" s="276"/>
      <c r="AD89" s="276"/>
      <c r="AE89" s="276"/>
      <c r="AF89" s="276"/>
    </row>
    <row r="90" spans="1:32" x14ac:dyDescent="0.25">
      <c r="A90" s="267">
        <v>2200</v>
      </c>
      <c r="B90" s="276"/>
      <c r="C90" s="276"/>
      <c r="D90" s="276"/>
      <c r="E90" s="276"/>
      <c r="F90" s="276"/>
      <c r="G90" s="276"/>
      <c r="H90" s="276"/>
      <c r="I90" s="276"/>
      <c r="J90" s="276"/>
      <c r="K90" s="276"/>
      <c r="L90" s="276"/>
      <c r="M90" s="276"/>
      <c r="N90" s="276"/>
      <c r="O90" s="276"/>
      <c r="P90" s="276"/>
      <c r="Q90" s="276"/>
      <c r="R90" s="276"/>
      <c r="S90" s="276"/>
      <c r="T90" s="276"/>
      <c r="U90" s="276"/>
      <c r="V90" s="276"/>
      <c r="W90" s="276"/>
      <c r="X90" s="276"/>
      <c r="Y90" s="276"/>
      <c r="Z90" s="276"/>
      <c r="AA90" s="276"/>
      <c r="AB90" s="276"/>
      <c r="AC90" s="276"/>
      <c r="AD90" s="276"/>
      <c r="AE90" s="276"/>
      <c r="AF90" s="276"/>
    </row>
    <row r="91" spans="1:32" x14ac:dyDescent="0.25">
      <c r="A91" s="267">
        <v>2210</v>
      </c>
      <c r="B91" s="276"/>
      <c r="C91" s="276"/>
      <c r="D91" s="276"/>
      <c r="E91" s="276"/>
      <c r="F91" s="276"/>
      <c r="G91" s="276"/>
      <c r="H91" s="276"/>
      <c r="I91" s="276"/>
      <c r="J91" s="276"/>
      <c r="K91" s="276"/>
      <c r="L91" s="276"/>
      <c r="M91" s="276"/>
      <c r="N91" s="276"/>
      <c r="O91" s="276"/>
      <c r="P91" s="276"/>
      <c r="Q91" s="276"/>
      <c r="R91" s="276"/>
      <c r="S91" s="276"/>
      <c r="T91" s="276"/>
      <c r="U91" s="276"/>
      <c r="V91" s="276"/>
      <c r="W91" s="276"/>
      <c r="X91" s="276"/>
      <c r="Y91" s="276"/>
      <c r="Z91" s="276"/>
      <c r="AA91" s="276"/>
      <c r="AB91" s="276"/>
      <c r="AC91" s="276"/>
      <c r="AD91" s="276"/>
      <c r="AE91" s="276"/>
      <c r="AF91" s="276"/>
    </row>
    <row r="92" spans="1:32" x14ac:dyDescent="0.25">
      <c r="A92" s="267">
        <v>2220</v>
      </c>
      <c r="B92" s="276"/>
      <c r="C92" s="276"/>
      <c r="D92" s="276"/>
      <c r="E92" s="276"/>
      <c r="F92" s="276"/>
      <c r="G92" s="276"/>
      <c r="H92" s="276"/>
      <c r="I92" s="276"/>
      <c r="J92" s="276"/>
      <c r="K92" s="276"/>
      <c r="L92" s="276"/>
      <c r="M92" s="276"/>
      <c r="N92" s="276"/>
      <c r="O92" s="276"/>
      <c r="P92" s="276"/>
      <c r="Q92" s="276"/>
      <c r="R92" s="276"/>
      <c r="S92" s="276"/>
      <c r="T92" s="276"/>
      <c r="U92" s="276"/>
      <c r="V92" s="276"/>
      <c r="W92" s="276"/>
      <c r="X92" s="276"/>
      <c r="Y92" s="276"/>
      <c r="Z92" s="276"/>
      <c r="AA92" s="276"/>
      <c r="AB92" s="276"/>
      <c r="AC92" s="276"/>
      <c r="AD92" s="276"/>
      <c r="AE92" s="276"/>
      <c r="AF92" s="276"/>
    </row>
    <row r="93" spans="1:32" x14ac:dyDescent="0.25">
      <c r="A93" s="267">
        <v>2230</v>
      </c>
      <c r="B93" s="276"/>
      <c r="C93" s="276"/>
      <c r="D93" s="276"/>
      <c r="E93" s="276"/>
      <c r="F93" s="276"/>
      <c r="G93" s="276"/>
      <c r="H93" s="276"/>
      <c r="I93" s="276"/>
      <c r="J93" s="276"/>
      <c r="K93" s="276"/>
      <c r="L93" s="276"/>
      <c r="M93" s="276"/>
      <c r="N93" s="276"/>
      <c r="O93" s="276"/>
      <c r="P93" s="276"/>
      <c r="Q93" s="276"/>
      <c r="R93" s="276"/>
      <c r="S93" s="276"/>
      <c r="T93" s="276"/>
      <c r="U93" s="276"/>
      <c r="V93" s="276"/>
      <c r="W93" s="276"/>
      <c r="X93" s="276"/>
      <c r="Y93" s="276"/>
      <c r="Z93" s="276"/>
      <c r="AA93" s="276"/>
      <c r="AB93" s="276"/>
      <c r="AC93" s="276"/>
      <c r="AD93" s="276"/>
      <c r="AE93" s="276"/>
      <c r="AF93" s="276"/>
    </row>
    <row r="94" spans="1:32" x14ac:dyDescent="0.25">
      <c r="A94" s="267">
        <v>2240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6"/>
      <c r="P94" s="276"/>
      <c r="Q94" s="276"/>
      <c r="R94" s="276"/>
      <c r="S94" s="276"/>
      <c r="T94" s="276"/>
      <c r="U94" s="276"/>
      <c r="V94" s="276"/>
      <c r="W94" s="276"/>
      <c r="X94" s="276"/>
      <c r="Y94" s="276"/>
      <c r="Z94" s="276"/>
      <c r="AA94" s="276"/>
      <c r="AB94" s="276"/>
      <c r="AC94" s="276"/>
      <c r="AD94" s="276"/>
      <c r="AE94" s="276"/>
      <c r="AF94" s="276"/>
    </row>
    <row r="95" spans="1:32" x14ac:dyDescent="0.25">
      <c r="A95" s="267">
        <v>2250</v>
      </c>
      <c r="B95" s="276"/>
      <c r="C95" s="276"/>
      <c r="D95" s="276"/>
      <c r="E95" s="276"/>
      <c r="F95" s="276"/>
      <c r="G95" s="276"/>
      <c r="H95" s="276"/>
      <c r="I95" s="276"/>
      <c r="J95" s="276"/>
      <c r="K95" s="276"/>
      <c r="L95" s="276"/>
      <c r="M95" s="276"/>
      <c r="N95" s="276"/>
      <c r="O95" s="276"/>
      <c r="P95" s="276"/>
      <c r="Q95" s="276"/>
      <c r="R95" s="276"/>
      <c r="S95" s="276"/>
      <c r="T95" s="276"/>
      <c r="U95" s="276"/>
      <c r="V95" s="276"/>
      <c r="W95" s="276"/>
      <c r="X95" s="276"/>
      <c r="Y95" s="276"/>
      <c r="Z95" s="276"/>
      <c r="AA95" s="276"/>
      <c r="AB95" s="276"/>
      <c r="AC95" s="276"/>
      <c r="AD95" s="276"/>
      <c r="AE95" s="276"/>
      <c r="AF95" s="276"/>
    </row>
    <row r="96" spans="1:32" x14ac:dyDescent="0.25">
      <c r="A96" s="267">
        <v>2300</v>
      </c>
      <c r="B96" s="276"/>
      <c r="C96" s="276"/>
      <c r="D96" s="276"/>
      <c r="E96" s="276"/>
      <c r="F96" s="276"/>
      <c r="G96" s="276"/>
      <c r="H96" s="276"/>
      <c r="I96" s="276"/>
      <c r="J96" s="276"/>
      <c r="K96" s="276"/>
      <c r="L96" s="276"/>
      <c r="M96" s="276"/>
      <c r="N96" s="276"/>
      <c r="O96" s="276"/>
      <c r="P96" s="276"/>
      <c r="Q96" s="276"/>
      <c r="R96" s="276"/>
      <c r="S96" s="276"/>
      <c r="T96" s="276"/>
      <c r="U96" s="276"/>
      <c r="V96" s="276"/>
      <c r="W96" s="276"/>
      <c r="X96" s="276"/>
      <c r="Y96" s="276"/>
      <c r="Z96" s="276"/>
      <c r="AA96" s="276"/>
      <c r="AB96" s="276"/>
      <c r="AC96" s="276"/>
      <c r="AD96" s="276"/>
      <c r="AE96" s="276"/>
      <c r="AF96" s="276"/>
    </row>
    <row r="97" spans="1:32" x14ac:dyDescent="0.25">
      <c r="A97" s="267">
        <v>2310</v>
      </c>
      <c r="B97" s="276"/>
      <c r="C97" s="276"/>
      <c r="D97" s="276"/>
      <c r="E97" s="276"/>
      <c r="F97" s="276"/>
      <c r="G97" s="276"/>
      <c r="H97" s="276"/>
      <c r="I97" s="276"/>
      <c r="J97" s="276"/>
      <c r="K97" s="276"/>
      <c r="L97" s="276"/>
      <c r="M97" s="276"/>
      <c r="N97" s="276"/>
      <c r="O97" s="276"/>
      <c r="P97" s="276"/>
      <c r="Q97" s="276"/>
      <c r="R97" s="276"/>
      <c r="S97" s="276"/>
      <c r="T97" s="276"/>
      <c r="U97" s="276"/>
      <c r="V97" s="276"/>
      <c r="W97" s="276"/>
      <c r="X97" s="276"/>
      <c r="Y97" s="276"/>
      <c r="Z97" s="276"/>
      <c r="AA97" s="276"/>
      <c r="AB97" s="276"/>
      <c r="AC97" s="276"/>
      <c r="AD97" s="276"/>
      <c r="AE97" s="276"/>
      <c r="AF97" s="276"/>
    </row>
    <row r="98" spans="1:32" x14ac:dyDescent="0.25">
      <c r="A98" s="267">
        <v>2320</v>
      </c>
      <c r="B98" s="276"/>
      <c r="C98" s="276"/>
      <c r="D98" s="276"/>
      <c r="E98" s="276"/>
      <c r="F98" s="276"/>
      <c r="G98" s="276"/>
      <c r="H98" s="276"/>
      <c r="I98" s="276"/>
      <c r="J98" s="276"/>
      <c r="K98" s="276"/>
      <c r="L98" s="276"/>
      <c r="M98" s="276"/>
      <c r="N98" s="276"/>
      <c r="O98" s="276"/>
      <c r="P98" s="276"/>
      <c r="Q98" s="276"/>
      <c r="R98" s="276"/>
      <c r="S98" s="276"/>
      <c r="T98" s="276"/>
      <c r="U98" s="276"/>
      <c r="V98" s="276"/>
      <c r="W98" s="276"/>
      <c r="X98" s="276"/>
      <c r="Y98" s="276"/>
      <c r="Z98" s="276"/>
      <c r="AA98" s="276"/>
      <c r="AB98" s="276"/>
      <c r="AC98" s="276"/>
      <c r="AD98" s="276"/>
      <c r="AE98" s="276"/>
      <c r="AF98" s="276"/>
    </row>
    <row r="99" spans="1:32" x14ac:dyDescent="0.25">
      <c r="A99" s="267">
        <v>2330</v>
      </c>
      <c r="B99" s="276"/>
      <c r="C99" s="276"/>
      <c r="D99" s="276"/>
      <c r="E99" s="276"/>
      <c r="F99" s="276"/>
      <c r="G99" s="276"/>
      <c r="H99" s="276"/>
      <c r="I99" s="276"/>
      <c r="J99" s="276"/>
      <c r="K99" s="276"/>
      <c r="L99" s="276"/>
      <c r="M99" s="276"/>
      <c r="N99" s="276"/>
      <c r="O99" s="276"/>
      <c r="P99" s="276"/>
      <c r="Q99" s="276"/>
      <c r="R99" s="276"/>
      <c r="S99" s="276"/>
      <c r="T99" s="276"/>
      <c r="U99" s="276"/>
      <c r="V99" s="276"/>
      <c r="W99" s="276"/>
      <c r="X99" s="276"/>
      <c r="Y99" s="276"/>
      <c r="Z99" s="276"/>
      <c r="AA99" s="276"/>
      <c r="AB99" s="276"/>
      <c r="AC99" s="276"/>
      <c r="AD99" s="276"/>
      <c r="AE99" s="276"/>
      <c r="AF99" s="276"/>
    </row>
    <row r="100" spans="1:32" x14ac:dyDescent="0.25">
      <c r="A100" s="267">
        <v>2340</v>
      </c>
      <c r="B100" s="276"/>
      <c r="C100" s="276"/>
      <c r="D100" s="276"/>
      <c r="E100" s="276"/>
      <c r="F100" s="276"/>
      <c r="G100" s="276"/>
      <c r="H100" s="276"/>
      <c r="I100" s="276"/>
      <c r="J100" s="276"/>
      <c r="K100" s="276"/>
      <c r="L100" s="276"/>
      <c r="M100" s="276"/>
      <c r="N100" s="276"/>
      <c r="O100" s="276"/>
      <c r="P100" s="276"/>
      <c r="Q100" s="276"/>
      <c r="R100" s="276"/>
      <c r="S100" s="276"/>
      <c r="T100" s="276"/>
      <c r="U100" s="276"/>
      <c r="V100" s="276"/>
      <c r="W100" s="276"/>
      <c r="X100" s="276"/>
      <c r="Y100" s="276"/>
      <c r="Z100" s="276"/>
      <c r="AA100" s="276"/>
      <c r="AB100" s="276"/>
      <c r="AC100" s="276"/>
      <c r="AD100" s="276"/>
      <c r="AE100" s="276"/>
      <c r="AF100" s="276"/>
    </row>
    <row r="101" spans="1:32" x14ac:dyDescent="0.25">
      <c r="A101" s="267">
        <v>2350</v>
      </c>
      <c r="B101" s="276"/>
      <c r="C101" s="276"/>
      <c r="D101" s="276"/>
      <c r="E101" s="276"/>
      <c r="F101" s="276"/>
      <c r="G101" s="276"/>
      <c r="H101" s="276"/>
      <c r="I101" s="276"/>
      <c r="J101" s="276"/>
      <c r="K101" s="276"/>
      <c r="L101" s="276"/>
      <c r="M101" s="276"/>
      <c r="N101" s="276"/>
      <c r="O101" s="276"/>
      <c r="P101" s="276"/>
      <c r="Q101" s="276"/>
      <c r="R101" s="276"/>
      <c r="S101" s="276"/>
      <c r="T101" s="276"/>
      <c r="U101" s="276"/>
      <c r="V101" s="276"/>
      <c r="W101" s="276"/>
      <c r="X101" s="276"/>
      <c r="Y101" s="276"/>
      <c r="Z101" s="276"/>
      <c r="AA101" s="276"/>
      <c r="AB101" s="276"/>
      <c r="AC101" s="276"/>
      <c r="AD101" s="276"/>
      <c r="AE101" s="276"/>
      <c r="AF101" s="276"/>
    </row>
    <row r="102" spans="1:32" x14ac:dyDescent="0.25">
      <c r="A102" s="267">
        <v>2400</v>
      </c>
      <c r="B102" s="276"/>
      <c r="C102" s="276"/>
      <c r="D102" s="276"/>
      <c r="E102" s="276"/>
      <c r="F102" s="276"/>
      <c r="G102" s="276"/>
      <c r="H102" s="276"/>
      <c r="I102" s="276"/>
      <c r="J102" s="276"/>
      <c r="K102" s="276"/>
      <c r="L102" s="276"/>
      <c r="M102" s="276"/>
      <c r="N102" s="276"/>
      <c r="O102" s="276"/>
      <c r="P102" s="276"/>
      <c r="Q102" s="276"/>
      <c r="R102" s="276"/>
      <c r="S102" s="276"/>
      <c r="T102" s="276"/>
      <c r="U102" s="276"/>
      <c r="V102" s="276"/>
      <c r="W102" s="276"/>
      <c r="X102" s="276"/>
      <c r="Y102" s="276"/>
      <c r="Z102" s="276"/>
      <c r="AA102" s="276"/>
      <c r="AB102" s="276"/>
      <c r="AC102" s="276"/>
      <c r="AD102" s="276"/>
      <c r="AE102" s="276"/>
      <c r="AF102" s="276"/>
    </row>
    <row r="103" spans="1:32" x14ac:dyDescent="0.25">
      <c r="A103" s="267">
        <v>2410</v>
      </c>
      <c r="B103" s="276"/>
      <c r="C103" s="276"/>
      <c r="D103" s="276"/>
      <c r="E103" s="276"/>
      <c r="F103" s="276"/>
      <c r="G103" s="276"/>
      <c r="H103" s="276"/>
      <c r="I103" s="276"/>
      <c r="J103" s="276"/>
      <c r="K103" s="276"/>
      <c r="L103" s="276"/>
      <c r="M103" s="276"/>
      <c r="N103" s="276"/>
      <c r="O103" s="276"/>
      <c r="P103" s="276"/>
      <c r="Q103" s="276"/>
      <c r="R103" s="276"/>
      <c r="S103" s="276"/>
      <c r="T103" s="276"/>
      <c r="U103" s="276"/>
      <c r="V103" s="276"/>
      <c r="W103" s="276"/>
      <c r="X103" s="276"/>
      <c r="Y103" s="276"/>
      <c r="Z103" s="276"/>
      <c r="AA103" s="276"/>
      <c r="AB103" s="276"/>
      <c r="AC103" s="276"/>
      <c r="AD103" s="276"/>
      <c r="AE103" s="276"/>
      <c r="AF103" s="276"/>
    </row>
    <row r="104" spans="1:32" x14ac:dyDescent="0.25">
      <c r="A104" s="267">
        <v>2420</v>
      </c>
      <c r="B104" s="276"/>
      <c r="C104" s="276"/>
      <c r="D104" s="276"/>
      <c r="E104" s="276"/>
      <c r="F104" s="276"/>
      <c r="G104" s="276"/>
      <c r="H104" s="276"/>
      <c r="I104" s="276"/>
      <c r="J104" s="276"/>
      <c r="K104" s="276"/>
      <c r="L104" s="276"/>
      <c r="M104" s="276"/>
      <c r="N104" s="276"/>
      <c r="O104" s="276"/>
      <c r="P104" s="276"/>
      <c r="Q104" s="276"/>
      <c r="R104" s="276"/>
      <c r="S104" s="276"/>
      <c r="T104" s="276"/>
      <c r="U104" s="276"/>
      <c r="V104" s="276"/>
      <c r="W104" s="276"/>
      <c r="X104" s="276"/>
      <c r="Y104" s="276"/>
      <c r="Z104" s="276"/>
      <c r="AA104" s="276"/>
      <c r="AB104" s="276"/>
      <c r="AC104" s="276"/>
      <c r="AD104" s="276"/>
      <c r="AE104" s="276"/>
      <c r="AF104" s="276"/>
    </row>
    <row r="105" spans="1:32" x14ac:dyDescent="0.25">
      <c r="A105" s="267">
        <v>2430</v>
      </c>
      <c r="B105" s="276"/>
      <c r="C105" s="276"/>
      <c r="D105" s="276"/>
      <c r="E105" s="276"/>
      <c r="F105" s="276"/>
      <c r="G105" s="276"/>
      <c r="H105" s="276"/>
      <c r="I105" s="276"/>
      <c r="J105" s="276"/>
      <c r="K105" s="276"/>
      <c r="L105" s="276"/>
      <c r="M105" s="276"/>
      <c r="N105" s="276"/>
      <c r="O105" s="276"/>
      <c r="P105" s="276"/>
      <c r="Q105" s="276"/>
      <c r="R105" s="276"/>
      <c r="S105" s="276"/>
      <c r="T105" s="276"/>
      <c r="U105" s="276"/>
      <c r="V105" s="276"/>
      <c r="W105" s="276"/>
      <c r="X105" s="276"/>
      <c r="Y105" s="276"/>
      <c r="Z105" s="276"/>
      <c r="AA105" s="276"/>
      <c r="AB105" s="276"/>
      <c r="AC105" s="276"/>
      <c r="AD105" s="276"/>
      <c r="AE105" s="276"/>
      <c r="AF105" s="276"/>
    </row>
    <row r="106" spans="1:32" x14ac:dyDescent="0.25">
      <c r="A106" s="267">
        <v>2440</v>
      </c>
      <c r="B106" s="276"/>
      <c r="C106" s="276"/>
      <c r="D106" s="276"/>
      <c r="E106" s="276"/>
      <c r="F106" s="276"/>
      <c r="G106" s="276"/>
      <c r="H106" s="276"/>
      <c r="I106" s="276"/>
      <c r="J106" s="276"/>
      <c r="K106" s="276"/>
      <c r="L106" s="276"/>
      <c r="M106" s="276"/>
      <c r="N106" s="276"/>
      <c r="O106" s="276"/>
      <c r="P106" s="276"/>
      <c r="Q106" s="276"/>
      <c r="R106" s="276"/>
      <c r="S106" s="276"/>
      <c r="T106" s="276"/>
      <c r="U106" s="276"/>
      <c r="V106" s="276"/>
      <c r="W106" s="276"/>
      <c r="X106" s="276"/>
      <c r="Y106" s="276"/>
      <c r="Z106" s="276"/>
      <c r="AA106" s="276"/>
      <c r="AB106" s="276"/>
      <c r="AC106" s="276"/>
      <c r="AD106" s="276"/>
      <c r="AE106" s="276"/>
      <c r="AF106" s="276"/>
    </row>
    <row r="107" spans="1:32" x14ac:dyDescent="0.25">
      <c r="A107" s="267">
        <v>2450</v>
      </c>
      <c r="B107" s="276"/>
      <c r="C107" s="276"/>
      <c r="D107" s="276"/>
      <c r="E107" s="276"/>
      <c r="F107" s="276"/>
      <c r="G107" s="276"/>
      <c r="H107" s="276"/>
      <c r="I107" s="276"/>
      <c r="J107" s="276"/>
      <c r="K107" s="276"/>
      <c r="L107" s="276"/>
      <c r="M107" s="276"/>
      <c r="N107" s="276"/>
      <c r="O107" s="276"/>
      <c r="P107" s="276"/>
      <c r="Q107" s="276"/>
      <c r="R107" s="276"/>
      <c r="S107" s="276"/>
      <c r="T107" s="276"/>
      <c r="U107" s="276"/>
      <c r="V107" s="276"/>
      <c r="W107" s="276"/>
      <c r="X107" s="276"/>
      <c r="Y107" s="276"/>
      <c r="Z107" s="276"/>
      <c r="AA107" s="276"/>
      <c r="AB107" s="276"/>
      <c r="AC107" s="276"/>
      <c r="AD107" s="276"/>
      <c r="AE107" s="276"/>
      <c r="AF107" s="276"/>
    </row>
    <row r="108" spans="1:32" x14ac:dyDescent="0.25">
      <c r="A108" s="266">
        <v>100</v>
      </c>
      <c r="B108" s="276"/>
      <c r="C108" s="276"/>
      <c r="D108" s="276"/>
      <c r="E108" s="276"/>
      <c r="F108" s="276"/>
      <c r="G108" s="276"/>
      <c r="H108" s="276"/>
      <c r="I108" s="276"/>
      <c r="J108" s="276"/>
      <c r="K108" s="276"/>
      <c r="L108" s="276"/>
      <c r="M108" s="276"/>
      <c r="N108" s="276"/>
      <c r="O108" s="276"/>
      <c r="P108" s="276"/>
      <c r="Q108" s="276"/>
      <c r="R108" s="276"/>
      <c r="S108" s="276"/>
      <c r="T108" s="276"/>
      <c r="U108" s="276"/>
      <c r="V108" s="276"/>
      <c r="W108" s="276"/>
      <c r="X108" s="276"/>
      <c r="Y108" s="276"/>
      <c r="Z108" s="276"/>
      <c r="AA108" s="276"/>
      <c r="AB108" s="276"/>
      <c r="AC108" s="276"/>
      <c r="AD108" s="276"/>
      <c r="AE108" s="276"/>
      <c r="AF108" s="276"/>
    </row>
    <row r="109" spans="1:32" x14ac:dyDescent="0.25">
      <c r="A109" s="266">
        <v>110</v>
      </c>
      <c r="B109" s="276"/>
      <c r="C109" s="276"/>
      <c r="D109" s="276"/>
      <c r="E109" s="276"/>
      <c r="F109" s="276"/>
      <c r="G109" s="276"/>
      <c r="H109" s="276"/>
      <c r="I109" s="276"/>
      <c r="J109" s="276"/>
      <c r="K109" s="276"/>
      <c r="L109" s="276"/>
      <c r="M109" s="276"/>
      <c r="N109" s="276"/>
      <c r="O109" s="276"/>
      <c r="P109" s="276"/>
      <c r="Q109" s="276"/>
      <c r="R109" s="276"/>
      <c r="S109" s="276"/>
      <c r="T109" s="276"/>
      <c r="U109" s="276"/>
      <c r="V109" s="276"/>
      <c r="W109" s="276"/>
      <c r="X109" s="276"/>
      <c r="Y109" s="276"/>
      <c r="Z109" s="276"/>
      <c r="AA109" s="276"/>
      <c r="AB109" s="276"/>
      <c r="AC109" s="276"/>
      <c r="AD109" s="276"/>
      <c r="AE109" s="276"/>
      <c r="AF109" s="276"/>
    </row>
    <row r="110" spans="1:32" x14ac:dyDescent="0.25">
      <c r="A110" s="266">
        <v>120</v>
      </c>
      <c r="B110" s="276"/>
      <c r="C110" s="276"/>
      <c r="D110" s="276"/>
      <c r="E110" s="276"/>
      <c r="F110" s="276"/>
      <c r="G110" s="276"/>
      <c r="H110" s="276"/>
      <c r="I110" s="276"/>
      <c r="J110" s="276"/>
      <c r="K110" s="276"/>
      <c r="L110" s="276"/>
      <c r="M110" s="276"/>
      <c r="N110" s="276"/>
      <c r="O110" s="276"/>
      <c r="P110" s="276"/>
      <c r="Q110" s="276"/>
      <c r="R110" s="276"/>
      <c r="S110" s="276"/>
      <c r="T110" s="276"/>
      <c r="U110" s="276"/>
      <c r="V110" s="276"/>
      <c r="W110" s="276"/>
      <c r="X110" s="276"/>
      <c r="Y110" s="276"/>
      <c r="Z110" s="276"/>
      <c r="AA110" s="276"/>
      <c r="AB110" s="276"/>
      <c r="AC110" s="276"/>
      <c r="AD110" s="276"/>
      <c r="AE110" s="276"/>
      <c r="AF110" s="276"/>
    </row>
    <row r="111" spans="1:32" x14ac:dyDescent="0.25">
      <c r="A111" s="266">
        <v>130</v>
      </c>
      <c r="B111" s="276"/>
      <c r="C111" s="276"/>
      <c r="D111" s="276"/>
      <c r="E111" s="276"/>
      <c r="F111" s="276"/>
      <c r="G111" s="276"/>
      <c r="H111" s="276"/>
      <c r="I111" s="276"/>
      <c r="J111" s="276"/>
      <c r="K111" s="276"/>
      <c r="L111" s="276"/>
      <c r="M111" s="276"/>
      <c r="N111" s="276"/>
      <c r="O111" s="276"/>
      <c r="P111" s="276"/>
      <c r="Q111" s="276"/>
      <c r="R111" s="276"/>
      <c r="S111" s="276"/>
      <c r="T111" s="276"/>
      <c r="U111" s="276"/>
      <c r="V111" s="276"/>
      <c r="W111" s="276"/>
      <c r="X111" s="276"/>
      <c r="Y111" s="276"/>
      <c r="Z111" s="276"/>
      <c r="AA111" s="276"/>
      <c r="AB111" s="276"/>
      <c r="AC111" s="276"/>
      <c r="AD111" s="276"/>
      <c r="AE111" s="276"/>
      <c r="AF111" s="276"/>
    </row>
    <row r="112" spans="1:32" x14ac:dyDescent="0.25">
      <c r="A112" s="266">
        <v>140</v>
      </c>
      <c r="B112" s="276"/>
      <c r="C112" s="276"/>
      <c r="D112" s="276"/>
      <c r="E112" s="276"/>
      <c r="F112" s="276"/>
      <c r="G112" s="276"/>
      <c r="H112" s="276"/>
      <c r="I112" s="276"/>
      <c r="J112" s="276"/>
      <c r="K112" s="276"/>
      <c r="L112" s="276"/>
      <c r="M112" s="276"/>
      <c r="N112" s="276"/>
      <c r="O112" s="276"/>
      <c r="P112" s="276"/>
      <c r="Q112" s="276"/>
      <c r="R112" s="276"/>
      <c r="S112" s="276"/>
      <c r="T112" s="276"/>
      <c r="U112" s="276"/>
      <c r="V112" s="276"/>
      <c r="W112" s="276"/>
      <c r="X112" s="276"/>
      <c r="Y112" s="276"/>
      <c r="Z112" s="276"/>
      <c r="AA112" s="276"/>
      <c r="AB112" s="276"/>
      <c r="AC112" s="276"/>
      <c r="AD112" s="276"/>
      <c r="AE112" s="276"/>
      <c r="AF112" s="276"/>
    </row>
    <row r="113" spans="1:32" x14ac:dyDescent="0.25">
      <c r="A113" s="266">
        <v>150</v>
      </c>
      <c r="B113" s="276"/>
      <c r="C113" s="276"/>
      <c r="D113" s="276"/>
      <c r="E113" s="276"/>
      <c r="F113" s="276"/>
      <c r="G113" s="276"/>
      <c r="H113" s="276"/>
      <c r="I113" s="276"/>
      <c r="J113" s="276"/>
      <c r="K113" s="276"/>
      <c r="L113" s="276"/>
      <c r="M113" s="276"/>
      <c r="N113" s="276"/>
      <c r="O113" s="276"/>
      <c r="P113" s="276"/>
      <c r="Q113" s="276"/>
      <c r="R113" s="276"/>
      <c r="S113" s="276"/>
      <c r="T113" s="276"/>
      <c r="U113" s="276"/>
      <c r="V113" s="276"/>
      <c r="W113" s="276"/>
      <c r="X113" s="276"/>
      <c r="Y113" s="276"/>
      <c r="Z113" s="276"/>
      <c r="AA113" s="276"/>
      <c r="AB113" s="276"/>
      <c r="AC113" s="276"/>
      <c r="AD113" s="276"/>
      <c r="AE113" s="276"/>
      <c r="AF113" s="276"/>
    </row>
    <row r="114" spans="1:32" x14ac:dyDescent="0.25">
      <c r="A114" s="266">
        <v>200</v>
      </c>
      <c r="B114" s="276"/>
      <c r="C114" s="276"/>
      <c r="D114" s="276"/>
      <c r="E114" s="276"/>
      <c r="F114" s="276"/>
      <c r="G114" s="276"/>
      <c r="H114" s="276"/>
      <c r="I114" s="276"/>
      <c r="J114" s="276"/>
      <c r="K114" s="276"/>
      <c r="L114" s="276"/>
      <c r="M114" s="276"/>
      <c r="N114" s="276"/>
      <c r="O114" s="276"/>
      <c r="P114" s="276"/>
      <c r="Q114" s="276"/>
      <c r="R114" s="276"/>
      <c r="S114" s="276"/>
      <c r="T114" s="276"/>
      <c r="U114" s="276"/>
      <c r="V114" s="276"/>
      <c r="W114" s="276"/>
      <c r="X114" s="276"/>
      <c r="Y114" s="276"/>
      <c r="Z114" s="276"/>
      <c r="AA114" s="276"/>
      <c r="AB114" s="276"/>
      <c r="AC114" s="276"/>
      <c r="AD114" s="276"/>
      <c r="AE114" s="276"/>
      <c r="AF114" s="276"/>
    </row>
    <row r="115" spans="1:32" x14ac:dyDescent="0.25">
      <c r="A115" s="266">
        <v>210</v>
      </c>
      <c r="B115" s="276"/>
      <c r="C115" s="276"/>
      <c r="D115" s="276"/>
      <c r="E115" s="276"/>
      <c r="F115" s="276"/>
      <c r="G115" s="276"/>
      <c r="H115" s="276"/>
      <c r="I115" s="276"/>
      <c r="J115" s="276"/>
      <c r="K115" s="276"/>
      <c r="L115" s="276"/>
      <c r="M115" s="276"/>
      <c r="N115" s="276"/>
      <c r="O115" s="276"/>
      <c r="P115" s="276"/>
      <c r="Q115" s="276"/>
      <c r="R115" s="276"/>
      <c r="S115" s="276"/>
      <c r="T115" s="276"/>
      <c r="U115" s="276"/>
      <c r="V115" s="276"/>
      <c r="W115" s="276"/>
      <c r="X115" s="276"/>
      <c r="Y115" s="276"/>
      <c r="Z115" s="276"/>
      <c r="AA115" s="276"/>
      <c r="AB115" s="276"/>
      <c r="AC115" s="276"/>
      <c r="AD115" s="276"/>
      <c r="AE115" s="276"/>
      <c r="AF115" s="276"/>
    </row>
    <row r="116" spans="1:32" x14ac:dyDescent="0.25">
      <c r="A116" s="266">
        <v>220</v>
      </c>
      <c r="B116" s="276"/>
      <c r="C116" s="276"/>
      <c r="D116" s="276"/>
      <c r="E116" s="276"/>
      <c r="F116" s="276"/>
      <c r="G116" s="276"/>
      <c r="H116" s="276"/>
      <c r="I116" s="276"/>
      <c r="J116" s="276"/>
      <c r="K116" s="276"/>
      <c r="L116" s="276"/>
      <c r="M116" s="276"/>
      <c r="N116" s="276"/>
      <c r="O116" s="276"/>
      <c r="P116" s="276"/>
      <c r="Q116" s="276"/>
      <c r="R116" s="276"/>
      <c r="S116" s="276"/>
      <c r="T116" s="276"/>
      <c r="U116" s="276"/>
      <c r="V116" s="276"/>
      <c r="W116" s="276"/>
      <c r="X116" s="276"/>
      <c r="Y116" s="276"/>
      <c r="Z116" s="276"/>
      <c r="AA116" s="276"/>
      <c r="AB116" s="276"/>
      <c r="AC116" s="276"/>
      <c r="AD116" s="276"/>
      <c r="AE116" s="276"/>
      <c r="AF116" s="276"/>
    </row>
    <row r="117" spans="1:32" x14ac:dyDescent="0.25">
      <c r="A117" s="266">
        <v>230</v>
      </c>
      <c r="B117" s="276"/>
      <c r="C117" s="276"/>
      <c r="D117" s="276"/>
      <c r="E117" s="276"/>
      <c r="F117" s="276"/>
      <c r="G117" s="276"/>
      <c r="H117" s="276"/>
      <c r="I117" s="276"/>
      <c r="J117" s="276"/>
      <c r="K117" s="276"/>
      <c r="L117" s="276"/>
      <c r="M117" s="276"/>
      <c r="N117" s="276"/>
      <c r="O117" s="276"/>
      <c r="P117" s="276"/>
      <c r="Q117" s="276"/>
      <c r="R117" s="276"/>
      <c r="S117" s="276"/>
      <c r="T117" s="276"/>
      <c r="U117" s="276"/>
      <c r="V117" s="276"/>
      <c r="W117" s="276"/>
      <c r="X117" s="276"/>
      <c r="Y117" s="276"/>
      <c r="Z117" s="276"/>
      <c r="AA117" s="276"/>
      <c r="AB117" s="276"/>
      <c r="AC117" s="276"/>
      <c r="AD117" s="276"/>
      <c r="AE117" s="276"/>
      <c r="AF117" s="276"/>
    </row>
    <row r="118" spans="1:32" x14ac:dyDescent="0.25">
      <c r="A118" s="266">
        <v>240</v>
      </c>
      <c r="B118" s="276"/>
      <c r="C118" s="276"/>
      <c r="D118" s="276"/>
      <c r="E118" s="276"/>
      <c r="F118" s="276"/>
      <c r="G118" s="276"/>
      <c r="H118" s="276"/>
      <c r="I118" s="276"/>
      <c r="J118" s="276"/>
      <c r="K118" s="276"/>
      <c r="L118" s="276"/>
      <c r="M118" s="276"/>
      <c r="N118" s="276"/>
      <c r="O118" s="276"/>
      <c r="P118" s="276"/>
      <c r="Q118" s="276"/>
      <c r="R118" s="276"/>
      <c r="S118" s="276"/>
      <c r="T118" s="276"/>
      <c r="U118" s="276"/>
      <c r="V118" s="276"/>
      <c r="W118" s="276"/>
      <c r="X118" s="276"/>
      <c r="Y118" s="276"/>
      <c r="Z118" s="276"/>
      <c r="AA118" s="276"/>
      <c r="AB118" s="276"/>
      <c r="AC118" s="276"/>
      <c r="AD118" s="276"/>
      <c r="AE118" s="276"/>
      <c r="AF118" s="276"/>
    </row>
    <row r="119" spans="1:32" x14ac:dyDescent="0.25">
      <c r="A119" s="266">
        <v>250</v>
      </c>
      <c r="B119" s="276"/>
      <c r="C119" s="276"/>
      <c r="D119" s="276"/>
      <c r="E119" s="276"/>
      <c r="F119" s="276"/>
      <c r="G119" s="276"/>
      <c r="H119" s="276"/>
      <c r="I119" s="276"/>
      <c r="J119" s="276"/>
      <c r="K119" s="276"/>
      <c r="L119" s="276"/>
      <c r="M119" s="276"/>
      <c r="N119" s="276"/>
      <c r="O119" s="276"/>
      <c r="P119" s="276"/>
      <c r="Q119" s="276"/>
      <c r="R119" s="276"/>
      <c r="S119" s="276"/>
      <c r="T119" s="276"/>
      <c r="U119" s="276"/>
      <c r="V119" s="276"/>
      <c r="W119" s="276"/>
      <c r="X119" s="276"/>
      <c r="Y119" s="276"/>
      <c r="Z119" s="276"/>
      <c r="AA119" s="276"/>
      <c r="AB119" s="276"/>
      <c r="AC119" s="276"/>
      <c r="AD119" s="276"/>
      <c r="AE119" s="276"/>
      <c r="AF119" s="276"/>
    </row>
    <row r="120" spans="1:32" x14ac:dyDescent="0.25">
      <c r="A120" s="266">
        <v>300</v>
      </c>
      <c r="B120" s="276"/>
      <c r="C120" s="276"/>
      <c r="D120" s="276"/>
      <c r="E120" s="276"/>
      <c r="F120" s="276"/>
      <c r="G120" s="276"/>
      <c r="H120" s="276"/>
      <c r="I120" s="276"/>
      <c r="J120" s="276"/>
      <c r="K120" s="276"/>
      <c r="L120" s="276"/>
      <c r="M120" s="276"/>
      <c r="N120" s="276"/>
      <c r="O120" s="276"/>
      <c r="P120" s="276"/>
      <c r="Q120" s="276"/>
      <c r="R120" s="276"/>
      <c r="S120" s="276"/>
      <c r="T120" s="276"/>
      <c r="U120" s="276"/>
      <c r="V120" s="276"/>
      <c r="W120" s="276"/>
      <c r="X120" s="276"/>
      <c r="Y120" s="276"/>
      <c r="Z120" s="276"/>
      <c r="AA120" s="276"/>
      <c r="AB120" s="276"/>
      <c r="AC120" s="276"/>
      <c r="AD120" s="276"/>
      <c r="AE120" s="276"/>
      <c r="AF120" s="276"/>
    </row>
    <row r="121" spans="1:32" x14ac:dyDescent="0.25">
      <c r="A121" s="266">
        <v>310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6"/>
      <c r="P121" s="276"/>
      <c r="Q121" s="276"/>
      <c r="R121" s="276"/>
      <c r="S121" s="276"/>
      <c r="T121" s="276"/>
      <c r="U121" s="276"/>
      <c r="V121" s="276"/>
      <c r="W121" s="276"/>
      <c r="X121" s="276"/>
      <c r="Y121" s="276"/>
      <c r="Z121" s="276"/>
      <c r="AA121" s="276"/>
      <c r="AB121" s="276"/>
      <c r="AC121" s="276"/>
      <c r="AD121" s="276"/>
      <c r="AE121" s="276"/>
      <c r="AF121" s="276"/>
    </row>
    <row r="122" spans="1:32" x14ac:dyDescent="0.25">
      <c r="A122" s="266">
        <v>320</v>
      </c>
      <c r="B122" s="276"/>
      <c r="C122" s="276"/>
      <c r="D122" s="276"/>
      <c r="E122" s="276"/>
      <c r="F122" s="276"/>
      <c r="G122" s="276"/>
      <c r="H122" s="276"/>
      <c r="I122" s="276"/>
      <c r="J122" s="276"/>
      <c r="K122" s="276"/>
      <c r="L122" s="276"/>
      <c r="M122" s="276"/>
      <c r="N122" s="276"/>
      <c r="O122" s="276"/>
      <c r="P122" s="276"/>
      <c r="Q122" s="276"/>
      <c r="R122" s="276"/>
      <c r="S122" s="276"/>
      <c r="T122" s="276"/>
      <c r="U122" s="276"/>
      <c r="V122" s="276"/>
      <c r="W122" s="276"/>
      <c r="X122" s="276"/>
      <c r="Y122" s="276"/>
      <c r="Z122" s="276"/>
      <c r="AA122" s="276"/>
      <c r="AB122" s="276"/>
      <c r="AC122" s="276"/>
      <c r="AD122" s="276"/>
      <c r="AE122" s="276"/>
      <c r="AF122" s="276"/>
    </row>
    <row r="123" spans="1:32" x14ac:dyDescent="0.25">
      <c r="A123" s="266">
        <v>330</v>
      </c>
      <c r="B123" s="276"/>
      <c r="C123" s="276"/>
      <c r="D123" s="276"/>
      <c r="E123" s="276"/>
      <c r="F123" s="276"/>
      <c r="G123" s="276"/>
      <c r="H123" s="276"/>
      <c r="I123" s="276"/>
      <c r="J123" s="276"/>
      <c r="K123" s="276"/>
      <c r="L123" s="276"/>
      <c r="M123" s="276"/>
      <c r="N123" s="276"/>
      <c r="O123" s="276"/>
      <c r="P123" s="276"/>
      <c r="Q123" s="276"/>
      <c r="R123" s="276"/>
      <c r="S123" s="276"/>
      <c r="T123" s="276"/>
      <c r="U123" s="276"/>
      <c r="V123" s="276"/>
      <c r="W123" s="276"/>
      <c r="X123" s="276"/>
      <c r="Y123" s="276"/>
      <c r="Z123" s="276"/>
      <c r="AA123" s="276"/>
      <c r="AB123" s="276"/>
      <c r="AC123" s="276"/>
      <c r="AD123" s="276"/>
      <c r="AE123" s="276"/>
      <c r="AF123" s="276"/>
    </row>
    <row r="124" spans="1:32" x14ac:dyDescent="0.25">
      <c r="A124" s="266">
        <v>340</v>
      </c>
      <c r="B124" s="276"/>
      <c r="C124" s="276"/>
      <c r="D124" s="276"/>
      <c r="E124" s="276"/>
      <c r="F124" s="276"/>
      <c r="G124" s="276"/>
      <c r="H124" s="276"/>
      <c r="I124" s="276"/>
      <c r="J124" s="276"/>
      <c r="K124" s="276"/>
      <c r="L124" s="276"/>
      <c r="M124" s="276"/>
      <c r="N124" s="276"/>
      <c r="O124" s="276"/>
      <c r="P124" s="276"/>
      <c r="Q124" s="276"/>
      <c r="R124" s="276"/>
      <c r="S124" s="276"/>
      <c r="T124" s="276"/>
      <c r="U124" s="276"/>
      <c r="V124" s="276"/>
      <c r="W124" s="276"/>
      <c r="X124" s="276"/>
      <c r="Y124" s="276"/>
      <c r="Z124" s="276"/>
      <c r="AA124" s="276"/>
      <c r="AB124" s="276"/>
      <c r="AC124" s="276"/>
      <c r="AD124" s="276"/>
      <c r="AE124" s="276"/>
      <c r="AF124" s="276"/>
    </row>
    <row r="125" spans="1:32" x14ac:dyDescent="0.25">
      <c r="A125" s="266">
        <v>350</v>
      </c>
      <c r="B125" s="276"/>
      <c r="C125" s="276"/>
      <c r="D125" s="276"/>
      <c r="E125" s="276"/>
      <c r="F125" s="276"/>
      <c r="G125" s="276"/>
      <c r="H125" s="276"/>
      <c r="I125" s="276"/>
      <c r="J125" s="276"/>
      <c r="K125" s="276"/>
      <c r="L125" s="276"/>
      <c r="M125" s="276"/>
      <c r="N125" s="276"/>
      <c r="O125" s="276"/>
      <c r="P125" s="276"/>
      <c r="Q125" s="276"/>
      <c r="R125" s="276"/>
      <c r="S125" s="276"/>
      <c r="T125" s="276"/>
      <c r="U125" s="276"/>
      <c r="V125" s="276"/>
      <c r="W125" s="276"/>
      <c r="X125" s="276"/>
      <c r="Y125" s="276"/>
      <c r="Z125" s="276"/>
      <c r="AA125" s="276"/>
      <c r="AB125" s="276"/>
      <c r="AC125" s="276"/>
      <c r="AD125" s="276"/>
      <c r="AE125" s="276"/>
      <c r="AF125" s="276"/>
    </row>
    <row r="126" spans="1:32" x14ac:dyDescent="0.25">
      <c r="A126" s="266">
        <v>400</v>
      </c>
      <c r="B126" s="276"/>
      <c r="C126" s="276"/>
      <c r="D126" s="276"/>
      <c r="E126" s="276"/>
      <c r="F126" s="276"/>
      <c r="G126" s="276"/>
      <c r="H126" s="276"/>
      <c r="I126" s="276"/>
      <c r="J126" s="276"/>
      <c r="K126" s="276"/>
      <c r="L126" s="276"/>
      <c r="M126" s="276"/>
      <c r="N126" s="276"/>
      <c r="O126" s="276"/>
      <c r="P126" s="276"/>
      <c r="Q126" s="276"/>
      <c r="R126" s="276"/>
      <c r="S126" s="276"/>
      <c r="T126" s="276"/>
      <c r="U126" s="276"/>
      <c r="V126" s="276"/>
      <c r="W126" s="276"/>
      <c r="X126" s="276"/>
      <c r="Y126" s="276"/>
      <c r="Z126" s="276"/>
      <c r="AA126" s="276"/>
      <c r="AB126" s="276"/>
      <c r="AC126" s="276"/>
      <c r="AD126" s="276"/>
      <c r="AE126" s="276"/>
      <c r="AF126" s="276"/>
    </row>
    <row r="127" spans="1:32" x14ac:dyDescent="0.25">
      <c r="A127" s="266">
        <v>410</v>
      </c>
      <c r="B127" s="276"/>
      <c r="C127" s="276"/>
      <c r="D127" s="276"/>
      <c r="E127" s="276"/>
      <c r="F127" s="276"/>
      <c r="G127" s="276"/>
      <c r="H127" s="276"/>
      <c r="I127" s="276"/>
      <c r="J127" s="276"/>
      <c r="K127" s="276"/>
      <c r="L127" s="276"/>
      <c r="M127" s="276"/>
      <c r="N127" s="276"/>
      <c r="O127" s="276"/>
      <c r="P127" s="276"/>
      <c r="Q127" s="276"/>
      <c r="R127" s="276"/>
      <c r="S127" s="276"/>
      <c r="T127" s="276"/>
      <c r="U127" s="276"/>
      <c r="V127" s="276"/>
      <c r="W127" s="276"/>
      <c r="X127" s="276"/>
      <c r="Y127" s="276"/>
      <c r="Z127" s="276"/>
      <c r="AA127" s="276"/>
      <c r="AB127" s="276"/>
      <c r="AC127" s="276"/>
      <c r="AD127" s="276"/>
      <c r="AE127" s="276"/>
      <c r="AF127" s="276"/>
    </row>
    <row r="128" spans="1:32" x14ac:dyDescent="0.25">
      <c r="A128" s="266">
        <v>420</v>
      </c>
      <c r="B128" s="276"/>
      <c r="C128" s="276"/>
      <c r="D128" s="276"/>
      <c r="E128" s="276"/>
      <c r="F128" s="276"/>
      <c r="G128" s="276"/>
      <c r="H128" s="276"/>
      <c r="I128" s="276"/>
      <c r="J128" s="276"/>
      <c r="K128" s="276"/>
      <c r="L128" s="276"/>
      <c r="M128" s="276"/>
      <c r="N128" s="276"/>
      <c r="O128" s="276"/>
      <c r="P128" s="276"/>
      <c r="Q128" s="276"/>
      <c r="R128" s="276"/>
      <c r="S128" s="276"/>
      <c r="T128" s="276"/>
      <c r="U128" s="276"/>
      <c r="V128" s="276"/>
      <c r="W128" s="276"/>
      <c r="X128" s="276"/>
      <c r="Y128" s="276"/>
      <c r="Z128" s="276"/>
      <c r="AA128" s="276"/>
      <c r="AB128" s="276"/>
      <c r="AC128" s="276"/>
      <c r="AD128" s="276"/>
      <c r="AE128" s="276"/>
      <c r="AF128" s="276"/>
    </row>
    <row r="129" spans="1:32" x14ac:dyDescent="0.25">
      <c r="A129" s="266">
        <v>430</v>
      </c>
      <c r="B129" s="276"/>
      <c r="C129" s="276"/>
      <c r="D129" s="276"/>
      <c r="E129" s="276"/>
      <c r="F129" s="276"/>
      <c r="G129" s="276"/>
      <c r="H129" s="276"/>
      <c r="I129" s="276"/>
      <c r="J129" s="276"/>
      <c r="K129" s="276"/>
      <c r="L129" s="276"/>
      <c r="M129" s="276"/>
      <c r="N129" s="276"/>
      <c r="O129" s="276"/>
      <c r="P129" s="276"/>
      <c r="Q129" s="276"/>
      <c r="R129" s="276"/>
      <c r="S129" s="276"/>
      <c r="T129" s="276"/>
      <c r="U129" s="276"/>
      <c r="V129" s="276"/>
      <c r="W129" s="276"/>
      <c r="X129" s="276"/>
      <c r="Y129" s="276"/>
      <c r="Z129" s="276"/>
      <c r="AA129" s="276"/>
      <c r="AB129" s="276"/>
      <c r="AC129" s="276"/>
      <c r="AD129" s="276"/>
      <c r="AE129" s="276"/>
      <c r="AF129" s="276"/>
    </row>
    <row r="130" spans="1:32" x14ac:dyDescent="0.25">
      <c r="A130" s="266">
        <v>440</v>
      </c>
      <c r="B130" s="276"/>
      <c r="C130" s="276"/>
      <c r="D130" s="276"/>
      <c r="E130" s="276"/>
      <c r="F130" s="276"/>
      <c r="G130" s="276"/>
      <c r="H130" s="276"/>
      <c r="I130" s="276"/>
      <c r="J130" s="276"/>
      <c r="K130" s="276"/>
      <c r="L130" s="276"/>
      <c r="M130" s="276"/>
      <c r="N130" s="276"/>
      <c r="O130" s="276"/>
      <c r="P130" s="276"/>
      <c r="Q130" s="276"/>
      <c r="R130" s="276"/>
      <c r="S130" s="276"/>
      <c r="T130" s="276"/>
      <c r="U130" s="276"/>
      <c r="V130" s="276"/>
      <c r="W130" s="276"/>
      <c r="X130" s="276"/>
      <c r="Y130" s="276"/>
      <c r="Z130" s="276"/>
      <c r="AA130" s="276"/>
      <c r="AB130" s="276"/>
      <c r="AC130" s="276"/>
      <c r="AD130" s="276"/>
      <c r="AE130" s="276"/>
      <c r="AF130" s="276"/>
    </row>
    <row r="131" spans="1:32" x14ac:dyDescent="0.25">
      <c r="A131" s="266">
        <v>450</v>
      </c>
      <c r="B131" s="276"/>
      <c r="C131" s="276"/>
      <c r="D131" s="276"/>
      <c r="E131" s="276"/>
      <c r="F131" s="276"/>
      <c r="G131" s="276"/>
      <c r="H131" s="276"/>
      <c r="I131" s="276"/>
      <c r="J131" s="276"/>
      <c r="K131" s="276"/>
      <c r="L131" s="276"/>
      <c r="M131" s="276"/>
      <c r="N131" s="276"/>
      <c r="O131" s="276"/>
      <c r="P131" s="276"/>
      <c r="Q131" s="276"/>
      <c r="R131" s="276"/>
      <c r="S131" s="276"/>
      <c r="T131" s="276"/>
      <c r="U131" s="276"/>
      <c r="V131" s="276"/>
      <c r="W131" s="276"/>
      <c r="X131" s="276"/>
      <c r="Y131" s="276"/>
      <c r="Z131" s="276"/>
      <c r="AA131" s="276"/>
      <c r="AB131" s="276"/>
      <c r="AC131" s="276"/>
      <c r="AD131" s="276"/>
      <c r="AE131" s="276"/>
      <c r="AF131" s="276"/>
    </row>
    <row r="132" spans="1:32" x14ac:dyDescent="0.25">
      <c r="A132" s="266">
        <v>500</v>
      </c>
      <c r="B132" s="276"/>
      <c r="C132" s="276"/>
      <c r="D132" s="276"/>
      <c r="E132" s="276"/>
      <c r="F132" s="276"/>
      <c r="G132" s="276"/>
      <c r="H132" s="276"/>
      <c r="I132" s="276"/>
      <c r="J132" s="276"/>
      <c r="K132" s="276"/>
      <c r="L132" s="276"/>
      <c r="M132" s="276"/>
      <c r="N132" s="276"/>
      <c r="O132" s="276"/>
      <c r="P132" s="276"/>
      <c r="Q132" s="276"/>
      <c r="R132" s="276"/>
      <c r="S132" s="276"/>
      <c r="T132" s="276"/>
      <c r="U132" s="276"/>
      <c r="V132" s="276"/>
      <c r="W132" s="276"/>
      <c r="X132" s="276"/>
      <c r="Y132" s="276"/>
      <c r="Z132" s="276"/>
      <c r="AA132" s="276"/>
      <c r="AB132" s="276"/>
      <c r="AC132" s="276"/>
      <c r="AD132" s="276"/>
      <c r="AE132" s="276"/>
      <c r="AF132" s="276"/>
    </row>
    <row r="133" spans="1:32" x14ac:dyDescent="0.25">
      <c r="A133" s="266">
        <v>510</v>
      </c>
      <c r="B133" s="276"/>
      <c r="C133" s="276"/>
      <c r="D133" s="276"/>
      <c r="E133" s="276"/>
      <c r="F133" s="276"/>
      <c r="G133" s="276"/>
      <c r="H133" s="276"/>
      <c r="I133" s="276"/>
      <c r="J133" s="276"/>
      <c r="K133" s="276"/>
      <c r="L133" s="276"/>
      <c r="M133" s="276"/>
      <c r="N133" s="276"/>
      <c r="O133" s="276"/>
      <c r="P133" s="276"/>
      <c r="Q133" s="276"/>
      <c r="R133" s="276"/>
      <c r="S133" s="276"/>
      <c r="T133" s="276"/>
      <c r="U133" s="276"/>
      <c r="V133" s="276"/>
      <c r="W133" s="276"/>
      <c r="X133" s="276"/>
      <c r="Y133" s="276"/>
      <c r="Z133" s="276"/>
      <c r="AA133" s="276"/>
      <c r="AB133" s="276"/>
      <c r="AC133" s="276"/>
      <c r="AD133" s="276"/>
      <c r="AE133" s="276"/>
      <c r="AF133" s="276"/>
    </row>
    <row r="134" spans="1:32" x14ac:dyDescent="0.25">
      <c r="A134" s="266">
        <v>520</v>
      </c>
      <c r="B134" s="276"/>
      <c r="C134" s="276"/>
      <c r="D134" s="276"/>
      <c r="E134" s="276"/>
      <c r="F134" s="276"/>
      <c r="G134" s="276"/>
      <c r="H134" s="276"/>
      <c r="I134" s="276"/>
      <c r="J134" s="276"/>
      <c r="K134" s="276"/>
      <c r="L134" s="276"/>
      <c r="M134" s="276"/>
      <c r="N134" s="276"/>
      <c r="O134" s="276"/>
      <c r="P134" s="276"/>
      <c r="Q134" s="276"/>
      <c r="R134" s="276"/>
      <c r="S134" s="276"/>
      <c r="T134" s="276"/>
      <c r="U134" s="276"/>
      <c r="V134" s="276"/>
      <c r="W134" s="276"/>
      <c r="X134" s="276"/>
      <c r="Y134" s="276"/>
      <c r="Z134" s="276"/>
      <c r="AA134" s="276"/>
      <c r="AB134" s="276"/>
      <c r="AC134" s="276"/>
      <c r="AD134" s="276"/>
      <c r="AE134" s="276"/>
      <c r="AF134" s="276"/>
    </row>
    <row r="135" spans="1:32" x14ac:dyDescent="0.25">
      <c r="A135" s="266">
        <v>530</v>
      </c>
      <c r="B135" s="276"/>
      <c r="C135" s="276"/>
      <c r="D135" s="276"/>
      <c r="E135" s="276"/>
      <c r="F135" s="276"/>
      <c r="G135" s="276"/>
      <c r="H135" s="276"/>
      <c r="I135" s="276"/>
      <c r="J135" s="276"/>
      <c r="K135" s="276"/>
      <c r="L135" s="276"/>
      <c r="M135" s="276"/>
      <c r="N135" s="276"/>
      <c r="O135" s="276"/>
      <c r="P135" s="276"/>
      <c r="Q135" s="276"/>
      <c r="R135" s="276"/>
      <c r="S135" s="276"/>
      <c r="T135" s="276"/>
      <c r="U135" s="276"/>
      <c r="V135" s="276"/>
      <c r="W135" s="276"/>
      <c r="X135" s="276"/>
      <c r="Y135" s="276"/>
      <c r="Z135" s="276"/>
      <c r="AA135" s="276"/>
      <c r="AB135" s="276"/>
      <c r="AC135" s="276"/>
      <c r="AD135" s="276"/>
      <c r="AE135" s="276"/>
      <c r="AF135" s="276"/>
    </row>
    <row r="136" spans="1:32" x14ac:dyDescent="0.25">
      <c r="A136" s="266">
        <v>540</v>
      </c>
      <c r="B136" s="276"/>
      <c r="C136" s="276"/>
      <c r="D136" s="276"/>
      <c r="E136" s="276"/>
      <c r="F136" s="276"/>
      <c r="G136" s="276"/>
      <c r="H136" s="276"/>
      <c r="I136" s="276"/>
      <c r="J136" s="276"/>
      <c r="K136" s="276"/>
      <c r="L136" s="276"/>
      <c r="M136" s="276"/>
      <c r="N136" s="276"/>
      <c r="O136" s="276"/>
      <c r="P136" s="276"/>
      <c r="Q136" s="276"/>
      <c r="R136" s="276"/>
      <c r="S136" s="276"/>
      <c r="T136" s="276"/>
      <c r="U136" s="276"/>
      <c r="V136" s="276"/>
      <c r="W136" s="276"/>
      <c r="X136" s="276"/>
      <c r="Y136" s="276"/>
      <c r="Z136" s="276"/>
      <c r="AA136" s="276"/>
      <c r="AB136" s="276"/>
      <c r="AC136" s="276"/>
      <c r="AD136" s="276"/>
      <c r="AE136" s="276"/>
      <c r="AF136" s="276"/>
    </row>
    <row r="137" spans="1:32" x14ac:dyDescent="0.25">
      <c r="A137" s="266">
        <v>550</v>
      </c>
      <c r="B137" s="276"/>
      <c r="C137" s="276"/>
      <c r="D137" s="276"/>
      <c r="E137" s="276"/>
      <c r="F137" s="276"/>
      <c r="G137" s="276"/>
      <c r="H137" s="276"/>
      <c r="I137" s="276"/>
      <c r="J137" s="276"/>
      <c r="K137" s="276"/>
      <c r="L137" s="276"/>
      <c r="M137" s="276"/>
      <c r="N137" s="276"/>
      <c r="O137" s="276"/>
      <c r="P137" s="276"/>
      <c r="Q137" s="276"/>
      <c r="R137" s="276"/>
      <c r="S137" s="276"/>
      <c r="T137" s="276"/>
      <c r="U137" s="276"/>
      <c r="V137" s="276"/>
      <c r="W137" s="276"/>
      <c r="X137" s="276"/>
      <c r="Y137" s="276"/>
      <c r="Z137" s="276"/>
      <c r="AA137" s="276"/>
      <c r="AB137" s="276"/>
      <c r="AC137" s="276"/>
      <c r="AD137" s="276"/>
      <c r="AE137" s="276"/>
      <c r="AF137" s="276"/>
    </row>
    <row r="138" spans="1:32" x14ac:dyDescent="0.25">
      <c r="A138" s="266">
        <v>600</v>
      </c>
      <c r="B138" s="276"/>
      <c r="C138" s="276"/>
      <c r="D138" s="276"/>
      <c r="E138" s="276"/>
      <c r="F138" s="276"/>
      <c r="G138" s="276"/>
      <c r="H138" s="276"/>
      <c r="I138" s="276"/>
      <c r="J138" s="276"/>
      <c r="K138" s="276"/>
      <c r="L138" s="276"/>
      <c r="M138" s="276"/>
      <c r="N138" s="276"/>
      <c r="O138" s="276"/>
      <c r="P138" s="276"/>
      <c r="Q138" s="276"/>
      <c r="R138" s="276"/>
      <c r="S138" s="276"/>
      <c r="T138" s="276"/>
      <c r="U138" s="276"/>
      <c r="V138" s="276"/>
      <c r="W138" s="276"/>
      <c r="X138" s="276"/>
      <c r="Y138" s="276"/>
      <c r="Z138" s="276"/>
      <c r="AA138" s="276"/>
      <c r="AB138" s="276"/>
      <c r="AC138" s="276"/>
      <c r="AD138" s="276"/>
      <c r="AE138" s="276"/>
      <c r="AF138" s="276"/>
    </row>
    <row r="139" spans="1:32" x14ac:dyDescent="0.25">
      <c r="A139" s="266">
        <v>610</v>
      </c>
      <c r="B139" s="276"/>
      <c r="C139" s="276"/>
      <c r="D139" s="276"/>
      <c r="E139" s="276"/>
      <c r="F139" s="276"/>
      <c r="G139" s="276"/>
      <c r="H139" s="276"/>
      <c r="I139" s="276"/>
      <c r="J139" s="276"/>
      <c r="K139" s="276"/>
      <c r="L139" s="276"/>
      <c r="M139" s="276"/>
      <c r="N139" s="276"/>
      <c r="O139" s="276"/>
      <c r="P139" s="276"/>
      <c r="Q139" s="276"/>
      <c r="R139" s="276"/>
      <c r="S139" s="276"/>
      <c r="T139" s="276"/>
      <c r="U139" s="276"/>
      <c r="V139" s="276"/>
      <c r="W139" s="276"/>
      <c r="X139" s="276"/>
      <c r="Y139" s="276"/>
      <c r="Z139" s="276"/>
      <c r="AA139" s="276"/>
      <c r="AB139" s="276"/>
      <c r="AC139" s="276"/>
      <c r="AD139" s="276"/>
      <c r="AE139" s="276"/>
      <c r="AF139" s="276"/>
    </row>
    <row r="140" spans="1:32" x14ac:dyDescent="0.25">
      <c r="A140" s="266">
        <v>620</v>
      </c>
      <c r="B140" s="276"/>
      <c r="C140" s="276"/>
      <c r="D140" s="276"/>
      <c r="E140" s="276"/>
      <c r="F140" s="276"/>
      <c r="G140" s="276"/>
      <c r="H140" s="276"/>
      <c r="I140" s="276"/>
      <c r="J140" s="276"/>
      <c r="K140" s="276"/>
      <c r="L140" s="276"/>
      <c r="M140" s="276"/>
      <c r="N140" s="276"/>
      <c r="O140" s="276"/>
      <c r="P140" s="276"/>
      <c r="Q140" s="276"/>
      <c r="R140" s="276"/>
      <c r="S140" s="276"/>
      <c r="T140" s="276"/>
      <c r="U140" s="276"/>
      <c r="V140" s="276"/>
      <c r="W140" s="276"/>
      <c r="X140" s="276"/>
      <c r="Y140" s="276"/>
      <c r="Z140" s="276"/>
      <c r="AA140" s="276"/>
      <c r="AB140" s="276"/>
      <c r="AC140" s="276"/>
      <c r="AD140" s="276"/>
      <c r="AE140" s="276"/>
      <c r="AF140" s="276"/>
    </row>
    <row r="141" spans="1:32" x14ac:dyDescent="0.25">
      <c r="A141" s="266">
        <v>630</v>
      </c>
      <c r="B141" s="276"/>
      <c r="C141" s="276"/>
      <c r="D141" s="276"/>
      <c r="E141" s="276"/>
      <c r="F141" s="276"/>
      <c r="G141" s="276"/>
      <c r="H141" s="276"/>
      <c r="I141" s="276"/>
      <c r="J141" s="276"/>
      <c r="K141" s="276"/>
      <c r="L141" s="276"/>
      <c r="M141" s="276"/>
      <c r="N141" s="276"/>
      <c r="O141" s="276"/>
      <c r="P141" s="276"/>
      <c r="Q141" s="276"/>
      <c r="R141" s="276"/>
      <c r="S141" s="276"/>
      <c r="T141" s="276"/>
      <c r="U141" s="276"/>
      <c r="V141" s="276"/>
      <c r="W141" s="276"/>
      <c r="X141" s="276"/>
      <c r="Y141" s="276"/>
      <c r="Z141" s="276"/>
      <c r="AA141" s="276"/>
      <c r="AB141" s="276"/>
      <c r="AC141" s="276"/>
      <c r="AD141" s="276"/>
      <c r="AE141" s="276"/>
      <c r="AF141" s="276"/>
    </row>
    <row r="142" spans="1:32" x14ac:dyDescent="0.25">
      <c r="A142" s="266">
        <v>640</v>
      </c>
      <c r="B142" s="276"/>
      <c r="C142" s="276"/>
      <c r="D142" s="276"/>
      <c r="E142" s="276"/>
      <c r="F142" s="276"/>
      <c r="G142" s="276"/>
      <c r="H142" s="276"/>
      <c r="I142" s="276"/>
      <c r="J142" s="276"/>
      <c r="K142" s="276"/>
      <c r="L142" s="276"/>
      <c r="M142" s="276"/>
      <c r="N142" s="276"/>
      <c r="O142" s="276"/>
      <c r="P142" s="276"/>
      <c r="Q142" s="276"/>
      <c r="R142" s="276"/>
      <c r="S142" s="276"/>
      <c r="T142" s="276"/>
      <c r="U142" s="276"/>
      <c r="V142" s="276"/>
      <c r="W142" s="276"/>
      <c r="X142" s="276"/>
      <c r="Y142" s="276"/>
      <c r="Z142" s="276"/>
      <c r="AA142" s="276"/>
      <c r="AB142" s="276"/>
      <c r="AC142" s="276"/>
      <c r="AD142" s="276"/>
      <c r="AE142" s="276"/>
      <c r="AF142" s="276"/>
    </row>
    <row r="143" spans="1:32" x14ac:dyDescent="0.25">
      <c r="A143" s="266">
        <v>650</v>
      </c>
      <c r="B143" s="276"/>
      <c r="C143" s="276"/>
      <c r="D143" s="276"/>
      <c r="E143" s="276"/>
      <c r="F143" s="276"/>
      <c r="G143" s="276"/>
      <c r="H143" s="276"/>
      <c r="I143" s="276"/>
      <c r="J143" s="276"/>
      <c r="K143" s="276"/>
      <c r="L143" s="276"/>
      <c r="M143" s="276"/>
      <c r="N143" s="276"/>
      <c r="O143" s="276"/>
      <c r="P143" s="276"/>
      <c r="Q143" s="276"/>
      <c r="R143" s="276"/>
      <c r="S143" s="276"/>
      <c r="T143" s="276"/>
      <c r="U143" s="276"/>
      <c r="V143" s="276"/>
      <c r="W143" s="276"/>
      <c r="X143" s="276"/>
      <c r="Y143" s="276"/>
      <c r="Z143" s="276"/>
      <c r="AA143" s="276"/>
      <c r="AB143" s="276"/>
      <c r="AC143" s="276"/>
      <c r="AD143" s="276"/>
      <c r="AE143" s="276"/>
      <c r="AF143" s="276"/>
    </row>
    <row r="144" spans="1:32" x14ac:dyDescent="0.25">
      <c r="A144" s="266">
        <v>700</v>
      </c>
      <c r="B144" s="276"/>
      <c r="C144" s="276"/>
      <c r="D144" s="276"/>
      <c r="E144" s="276"/>
      <c r="F144" s="276"/>
      <c r="G144" s="276"/>
      <c r="H144" s="276"/>
      <c r="I144" s="276"/>
      <c r="J144" s="276"/>
      <c r="K144" s="276"/>
      <c r="L144" s="276"/>
      <c r="M144" s="276"/>
      <c r="N144" s="276"/>
      <c r="O144" s="276"/>
      <c r="P144" s="276"/>
      <c r="Q144" s="276"/>
      <c r="R144" s="276"/>
      <c r="S144" s="276"/>
      <c r="T144" s="276"/>
      <c r="U144" s="276"/>
      <c r="V144" s="276"/>
      <c r="W144" s="276"/>
      <c r="X144" s="276"/>
      <c r="Y144" s="276"/>
      <c r="Z144" s="276"/>
      <c r="AA144" s="276"/>
      <c r="AB144" s="276"/>
      <c r="AC144" s="276"/>
      <c r="AD144" s="276"/>
      <c r="AE144" s="276"/>
      <c r="AF144" s="276"/>
    </row>
    <row r="145" spans="1:32" x14ac:dyDescent="0.25">
      <c r="A145" s="266">
        <v>710</v>
      </c>
      <c r="B145" s="276"/>
      <c r="C145" s="276"/>
      <c r="D145" s="276"/>
      <c r="E145" s="276"/>
      <c r="F145" s="276"/>
      <c r="G145" s="276"/>
      <c r="H145" s="276"/>
      <c r="I145" s="276"/>
      <c r="J145" s="276"/>
      <c r="K145" s="276"/>
      <c r="L145" s="276"/>
      <c r="M145" s="276"/>
      <c r="N145" s="276"/>
      <c r="O145" s="276"/>
      <c r="P145" s="276"/>
      <c r="Q145" s="276"/>
      <c r="R145" s="276"/>
      <c r="S145" s="276"/>
      <c r="T145" s="276"/>
      <c r="U145" s="276"/>
      <c r="V145" s="276"/>
      <c r="W145" s="276"/>
      <c r="X145" s="276"/>
      <c r="Y145" s="276"/>
      <c r="Z145" s="276"/>
      <c r="AA145" s="276"/>
      <c r="AB145" s="276"/>
      <c r="AC145" s="276"/>
      <c r="AD145" s="276"/>
      <c r="AE145" s="276"/>
      <c r="AF145" s="276"/>
    </row>
    <row r="146" spans="1:32" x14ac:dyDescent="0.25">
      <c r="A146" s="266">
        <v>720</v>
      </c>
      <c r="B146" s="276"/>
      <c r="C146" s="276"/>
      <c r="D146" s="276"/>
      <c r="E146" s="276"/>
      <c r="F146" s="276"/>
      <c r="G146" s="276"/>
      <c r="H146" s="276"/>
      <c r="I146" s="276"/>
      <c r="J146" s="276"/>
      <c r="K146" s="276"/>
      <c r="L146" s="276"/>
      <c r="M146" s="276"/>
      <c r="N146" s="276"/>
      <c r="O146" s="276"/>
      <c r="P146" s="276"/>
      <c r="Q146" s="276"/>
      <c r="R146" s="276"/>
      <c r="S146" s="276"/>
      <c r="T146" s="276"/>
      <c r="U146" s="276"/>
      <c r="V146" s="276"/>
      <c r="W146" s="276"/>
      <c r="X146" s="276"/>
      <c r="Y146" s="276"/>
      <c r="Z146" s="276"/>
      <c r="AA146" s="276"/>
      <c r="AB146" s="276"/>
      <c r="AC146" s="276"/>
      <c r="AD146" s="276"/>
      <c r="AE146" s="276"/>
      <c r="AF146" s="276"/>
    </row>
    <row r="147" spans="1:32" x14ac:dyDescent="0.25">
      <c r="A147" s="266">
        <v>730</v>
      </c>
      <c r="B147" s="276"/>
      <c r="C147" s="276"/>
      <c r="D147" s="276"/>
      <c r="E147" s="276"/>
      <c r="F147" s="276"/>
      <c r="G147" s="276"/>
      <c r="H147" s="276"/>
      <c r="I147" s="276"/>
      <c r="J147" s="276"/>
      <c r="K147" s="276"/>
      <c r="L147" s="276"/>
      <c r="M147" s="276"/>
      <c r="N147" s="276"/>
      <c r="O147" s="276"/>
      <c r="P147" s="276"/>
      <c r="Q147" s="276"/>
      <c r="R147" s="276"/>
      <c r="S147" s="276"/>
      <c r="T147" s="276"/>
      <c r="U147" s="276"/>
      <c r="V147" s="276"/>
      <c r="W147" s="276"/>
      <c r="X147" s="276"/>
      <c r="Y147" s="276"/>
      <c r="Z147" s="276"/>
      <c r="AA147" s="276"/>
      <c r="AB147" s="276"/>
      <c r="AC147" s="276"/>
      <c r="AD147" s="276"/>
      <c r="AE147" s="276"/>
      <c r="AF147" s="276"/>
    </row>
    <row r="148" spans="1:32" x14ac:dyDescent="0.25">
      <c r="A148" s="266">
        <v>740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6"/>
      <c r="P148" s="276"/>
      <c r="Q148" s="276"/>
      <c r="R148" s="276"/>
      <c r="S148" s="276"/>
      <c r="T148" s="276"/>
      <c r="U148" s="276"/>
      <c r="V148" s="276"/>
      <c r="W148" s="276"/>
      <c r="X148" s="276"/>
      <c r="Y148" s="276"/>
      <c r="Z148" s="276"/>
      <c r="AA148" s="276"/>
      <c r="AB148" s="276"/>
      <c r="AC148" s="276"/>
      <c r="AD148" s="276"/>
      <c r="AE148" s="276"/>
      <c r="AF148" s="276"/>
    </row>
    <row r="149" spans="1:32" x14ac:dyDescent="0.25">
      <c r="A149" s="266">
        <v>750</v>
      </c>
      <c r="B149" s="276"/>
      <c r="C149" s="276"/>
      <c r="D149" s="276"/>
      <c r="E149" s="276"/>
      <c r="F149" s="276"/>
      <c r="G149" s="276"/>
      <c r="H149" s="276"/>
      <c r="I149" s="276"/>
      <c r="J149" s="276"/>
      <c r="K149" s="276"/>
      <c r="L149" s="276"/>
      <c r="M149" s="276"/>
      <c r="N149" s="276"/>
      <c r="O149" s="276"/>
      <c r="P149" s="276"/>
      <c r="Q149" s="276"/>
      <c r="R149" s="276"/>
      <c r="S149" s="276"/>
      <c r="T149" s="276"/>
      <c r="U149" s="276"/>
      <c r="V149" s="276"/>
      <c r="W149" s="276"/>
      <c r="X149" s="276"/>
      <c r="Y149" s="276"/>
      <c r="Z149" s="276"/>
      <c r="AA149" s="276"/>
      <c r="AB149" s="276"/>
      <c r="AC149" s="276"/>
      <c r="AD149" s="276"/>
      <c r="AE149" s="276"/>
      <c r="AF149" s="276"/>
    </row>
    <row r="150" spans="1:32" x14ac:dyDescent="0.25">
      <c r="A150" s="266">
        <v>800</v>
      </c>
      <c r="B150" s="276"/>
      <c r="C150" s="276"/>
      <c r="D150" s="276"/>
      <c r="E150" s="276"/>
      <c r="F150" s="276"/>
      <c r="G150" s="276"/>
      <c r="H150" s="276"/>
      <c r="I150" s="276"/>
      <c r="J150" s="276"/>
      <c r="K150" s="276"/>
      <c r="L150" s="276"/>
      <c r="M150" s="276"/>
      <c r="N150" s="276"/>
      <c r="O150" s="276"/>
      <c r="P150" s="276"/>
      <c r="Q150" s="276"/>
      <c r="R150" s="276"/>
      <c r="S150" s="276"/>
      <c r="T150" s="276"/>
      <c r="U150" s="276"/>
      <c r="V150" s="276"/>
      <c r="W150" s="276"/>
      <c r="X150" s="276"/>
      <c r="Y150" s="276"/>
      <c r="Z150" s="276"/>
      <c r="AA150" s="276"/>
      <c r="AB150" s="276"/>
      <c r="AC150" s="276"/>
      <c r="AD150" s="276"/>
      <c r="AE150" s="276"/>
      <c r="AF150" s="276"/>
    </row>
  </sheetData>
  <mergeCells count="3">
    <mergeCell ref="B2:D2"/>
    <mergeCell ref="B4:AF4"/>
    <mergeCell ref="A4:A5"/>
  </mergeCells>
  <conditionalFormatting sqref="B6:AF150">
    <cfRule type="expression" priority="3">
      <formula>NOTISBLANK(B6)</formula>
    </cfRule>
    <cfRule type="expression" dxfId="0" priority="4">
      <formula>ISBLANK(B6)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 Pattern 10min  Chart Reading</vt:lpstr>
      <vt:lpstr>2 Data RR corrMAX</vt:lpstr>
      <vt:lpstr>3 Corr Monthly RR Max</vt:lpstr>
      <vt:lpstr>4 Hourly RR Chart Reading</vt:lpstr>
      <vt:lpstr>Station Database</vt:lpstr>
      <vt:lpstr>5 Hourly w Corr Factor</vt:lpstr>
      <vt:lpstr>Monthly Rainfall Chart Reading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User2</dc:creator>
  <cp:lastModifiedBy>Mikaella Jennine Paat</cp:lastModifiedBy>
  <cp:lastPrinted>2023-06-16T06:04:09Z</cp:lastPrinted>
  <dcterms:created xsi:type="dcterms:W3CDTF">2023-03-30T00:02:29Z</dcterms:created>
  <dcterms:modified xsi:type="dcterms:W3CDTF">2026-05-12T23:34:10Z</dcterms:modified>
</cp:coreProperties>
</file>